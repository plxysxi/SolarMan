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ภาพรวมและสรุปผล (Dashboard)" sheetId="1" state="visible" r:id="rId1"/>
    <sheet name="เปรียบเทียบค่าไฟจริง กฟภ" sheetId="2" state="visible" r:id="rId2"/>
    <sheet name="ผลิต vs ใช้ไฟฟ้า รายหลัง" sheetId="3" state="visible" r:id="rId3"/>
    <sheet name="มาตรการและChecklistประหยัดไฟ" sheetId="4" state="visible" r:id="rId4"/>
    <sheet name="สถิติผลิตไฟรายวัน (Day-by-Day)" sheetId="5" state="visible" r:id="rId5"/>
    <sheet name="กราฟและสถิติรายเดือน" sheetId="6" state="visible" r:id="rId6"/>
    <sheet name="วิเคราะห์การเข้าพักและค่าไฟ" sheetId="7" state="visible" r:id="rId7"/>
    <sheet name="สรุปความคุ้มค่ารายหลัง_CEO" sheetId="8" state="visible" r:id="rId8"/>
    <sheet name="แบบฟอร์มบันทึกสาขาพัทย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0.00"/>
  </numFmts>
  <fonts count="1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7FF"/>
      <sz val="10"/>
    </font>
    <font>
      <name val="Segoe UI"/>
      <b val="1"/>
      <color rgb="00475569"/>
      <sz val="9"/>
    </font>
    <font>
      <name val="Segoe UI"/>
      <b val="1"/>
      <color rgb="000F172A"/>
      <sz val="15"/>
    </font>
    <font>
      <name val="Segoe UI"/>
      <i val="1"/>
      <color rgb="0064748B"/>
      <sz val="8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0F172A"/>
      <sz val="10"/>
    </font>
    <font>
      <name val="Segoe UI"/>
      <b val="1"/>
      <color rgb="001F2937"/>
      <sz val="10"/>
    </font>
    <font>
      <name val="Segoe UI"/>
      <b val="1"/>
      <color rgb="0015803D"/>
      <sz val="10"/>
    </font>
    <font>
      <name val="Segoe UI"/>
      <i val="1"/>
      <color rgb="00475569"/>
      <sz val="9"/>
    </font>
    <font>
      <name val="Segoe UI"/>
      <b val="1"/>
      <color rgb="00C2410C"/>
      <sz val="10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1F2937"/>
      <sz val="9"/>
    </font>
    <font>
      <name val="Segoe UI"/>
      <color rgb="001F2937"/>
      <sz val="9"/>
    </font>
    <font>
      <name val="Segoe UI"/>
      <b val="1"/>
      <color rgb="000F172A"/>
      <sz val="9"/>
    </font>
  </fonts>
  <fills count="23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  <fill>
      <patternFill patternType="solid">
        <fgColor rgb="00F0FDFA"/>
        <bgColor rgb="00F0FDFA"/>
      </patternFill>
    </fill>
    <fill>
      <patternFill patternType="solid">
        <fgColor rgb="00EEF2F6"/>
        <bgColor rgb="00EEF2F6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0D9488"/>
        <bgColor rgb="000D9488"/>
      </patternFill>
    </fill>
    <fill>
      <patternFill patternType="solid">
        <fgColor rgb="00FCE7F3"/>
        <bgColor rgb="00FCE7F3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F0FDF4"/>
        <bgColor rgb="00F0FDF4"/>
      </patternFill>
    </fill>
    <fill>
      <patternFill patternType="solid">
        <fgColor rgb="00065F46"/>
        <bgColor rgb="00065F46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double">
        <color rgb="000F172A"/>
      </bottom>
      <diagonal/>
    </border>
    <border>
      <left style="thin">
        <color rgb="00CBD5E1"/>
      </left>
      <right style="thin">
        <color rgb="00CBD5E1"/>
      </right>
      <top/>
      <bottom style="medium">
        <color rgb="0094A3B8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4" fontId="8" fillId="10" borderId="1" applyAlignment="1" pivotButton="0" quotePrefix="0" xfId="0">
      <alignment horizontal="right" vertical="center"/>
    </xf>
    <xf numFmtId="10" fontId="8" fillId="10" borderId="1" applyAlignment="1" pivotButton="0" quotePrefix="0" xfId="0">
      <alignment horizontal="right" vertical="center"/>
    </xf>
    <xf numFmtId="0" fontId="9" fillId="11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left" vertical="center"/>
    </xf>
    <xf numFmtId="4" fontId="9" fillId="11" borderId="3" applyAlignment="1" pivotButton="0" quotePrefix="0" xfId="0">
      <alignment horizontal="right" vertical="center"/>
    </xf>
    <xf numFmtId="10" fontId="9" fillId="11" borderId="3" applyAlignment="1" pivotButton="0" quotePrefix="0" xfId="0">
      <alignment horizontal="right" vertical="center"/>
    </xf>
    <xf numFmtId="0" fontId="7" fillId="12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center" vertical="center"/>
    </xf>
    <xf numFmtId="4" fontId="0" fillId="10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4" fontId="10" fillId="5" borderId="1" applyAlignment="1" pivotButton="0" quotePrefix="0" xfId="0">
      <alignment horizontal="right" vertical="center"/>
    </xf>
    <xf numFmtId="0" fontId="10" fillId="1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11" fillId="14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right" vertical="center"/>
    </xf>
    <xf numFmtId="0" fontId="10" fillId="17" borderId="1" applyAlignment="1" pivotButton="0" quotePrefix="0" xfId="0">
      <alignment horizontal="center" vertical="center"/>
    </xf>
    <xf numFmtId="0" fontId="9" fillId="11" borderId="3" pivotButton="0" quotePrefix="0" xfId="0"/>
    <xf numFmtId="3" fontId="9" fillId="11" borderId="3" applyAlignment="1" pivotButton="0" quotePrefix="0" xfId="0">
      <alignment horizontal="right" vertical="center"/>
    </xf>
    <xf numFmtId="164" fontId="9" fillId="11" borderId="3" applyAlignment="1" pivotButton="0" quotePrefix="0" xfId="0">
      <alignment horizontal="right" vertical="center"/>
    </xf>
    <xf numFmtId="0" fontId="0" fillId="0" borderId="9" pivotButton="0" quotePrefix="0" xfId="0"/>
    <xf numFmtId="0" fontId="14" fillId="2" borderId="0" applyAlignment="1" pivotButton="0" quotePrefix="0" xfId="0">
      <alignment horizontal="left" vertical="center" indent="1"/>
    </xf>
    <xf numFmtId="0" fontId="7" fillId="9" borderId="2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left" vertical="center"/>
    </xf>
    <xf numFmtId="3" fontId="8" fillId="10" borderId="1" applyAlignment="1" pivotButton="0" quotePrefix="0" xfId="0">
      <alignment horizontal="right" vertical="center"/>
    </xf>
    <xf numFmtId="0" fontId="7" fillId="12" borderId="2" applyAlignment="1" pivotButton="0" quotePrefix="0" xfId="0">
      <alignment horizontal="center" vertical="center" wrapText="1"/>
    </xf>
    <xf numFmtId="10" fontId="10" fillId="0" borderId="1" applyAlignment="1" pivotButton="0" quotePrefix="0" xfId="0">
      <alignment horizontal="center" vertical="center"/>
    </xf>
    <xf numFmtId="10" fontId="9" fillId="11" borderId="3" applyAlignment="1" pivotButton="0" quotePrefix="0" xfId="0">
      <alignment horizontal="center" vertical="center"/>
    </xf>
    <xf numFmtId="0" fontId="0" fillId="0" borderId="10" pivotButton="0" quotePrefix="0" xfId="0"/>
    <xf numFmtId="0" fontId="15" fillId="9" borderId="2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18" borderId="0" applyAlignment="1" pivotButton="0" quotePrefix="0" xfId="0">
      <alignment horizontal="center" vertical="center"/>
    </xf>
    <xf numFmtId="0" fontId="15" fillId="19" borderId="2" applyAlignment="1" pivotButton="0" quotePrefix="0" xfId="0">
      <alignment horizontal="center" vertical="center"/>
    </xf>
    <xf numFmtId="0" fontId="15" fillId="20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center" vertical="center"/>
    </xf>
    <xf numFmtId="4" fontId="17" fillId="0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center" vertical="center"/>
    </xf>
    <xf numFmtId="4" fontId="17" fillId="10" borderId="1" applyAlignment="1" pivotButton="0" quotePrefix="0" xfId="0">
      <alignment horizontal="right" vertical="center"/>
    </xf>
    <xf numFmtId="0" fontId="18" fillId="11" borderId="3" applyAlignment="1" pivotButton="0" quotePrefix="0" xfId="0">
      <alignment horizontal="center" vertical="center"/>
    </xf>
    <xf numFmtId="4" fontId="18" fillId="11" borderId="3" applyAlignment="1" pivotButton="0" quotePrefix="0" xfId="0">
      <alignment horizontal="right" vertical="center"/>
    </xf>
    <xf numFmtId="10" fontId="18" fillId="11" borderId="3" applyAlignment="1" pivotButton="0" quotePrefix="0" xfId="0">
      <alignment horizontal="center" vertical="center"/>
    </xf>
    <xf numFmtId="0" fontId="0" fillId="0" borderId="11" pivotButton="0" quotePrefix="0" xfId="0"/>
    <xf numFmtId="0" fontId="1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right" vertical="center"/>
    </xf>
    <xf numFmtId="0" fontId="16" fillId="1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right" vertical="center"/>
    </xf>
    <xf numFmtId="0" fontId="7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right" vertical="center"/>
    </xf>
    <xf numFmtId="0" fontId="7" fillId="18" borderId="1" applyAlignment="1" pivotButton="0" quotePrefix="0" xfId="0">
      <alignment horizontal="left" vertical="center"/>
    </xf>
    <xf numFmtId="0" fontId="7" fillId="2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เปรียบเทียบ: ค่าไฟที่จ่ายจริงให้ กฟภ. (มีโซล่าร์) vs ค่าไฟถ้าไม่มีโซล่าเซลล์ (บาท)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'เปรียบเทียบค่าไฟจริง กฟภ'!B15</f>
            </strRef>
          </tx>
          <spPr>
            <a:ln>
              <a:prstDash val="solid"/>
            </a:ln>
          </spPr>
          <cat>
            <numRef>
              <f>'เปรียบเทียบค่าไฟจริง กฟภ'!$A$16:$A$21</f>
            </numRef>
          </cat>
          <val>
            <numRef>
              <f>'เปรียบเทียบค่าไฟจริง กฟภ'!$B$16:$B$21</f>
            </numRef>
          </val>
        </ser>
        <ser>
          <idx val="1"/>
          <order val="1"/>
          <tx>
            <strRef>
              <f>'เปรียบเทียบค่าไฟจริง กฟภ'!F15</f>
            </strRef>
          </tx>
          <spPr>
            <a:ln>
              <a:prstDash val="solid"/>
            </a:ln>
          </spPr>
          <cat>
            <numRef>
              <f>'เปรียบเทียบค่าไฟจริง กฟภ'!$A$16:$A$21</f>
            </numRef>
          </cat>
          <val>
            <numRef>
              <f>'เปรียบเทียบค่าไฟจริง กฟภ'!$F$16:$F$21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เดือน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จำนวนเงิน (บาท)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กราฟปริมาณไฟฟ้าที่ผลิตได้ในแต่ละวัน (วันที่ 1 ถึง 30 เมษายน 2569) - kWh/วัน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'สถิติผลิตไฟรายวัน (Day-by-Day)'!I4</f>
            </strRef>
          </tx>
          <spPr>
            <a:ln>
              <a:prstDash val="solid"/>
            </a:ln>
          </spPr>
          <cat>
            <numRef>
              <f>'สถิติผลิตไฟรายวัน (Day-by-Day)'!$A$5:$A$34</f>
            </numRef>
          </cat>
          <val>
            <numRef>
              <f>'สถิติผลิตไฟรายวัน (Day-by-Day)'!$I$5:$I$34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วันที่ (Day 1 - 30)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ปริมาณการผลิต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กราฟปริมาณไฟฟ้าที่ผลิตได้ในแต่ละเดือน (ม.ค. - ก.ย. 2569) - kWh/เดือน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'กราฟและสถิติรายเดือน'!$C$5:$K$5</f>
            </numRef>
          </cat>
          <val>
            <numRef>
              <f>'กราฟและสถิติรายเดือน'!$C$12:$K$12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เดือน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ปริมาณการผลิต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22" customWidth="1" min="4" max="4"/>
    <col width="18" customWidth="1" min="5" max="5"/>
    <col width="20" customWidth="1" min="6" max="6"/>
    <col width="20" customWidth="1" min="7" max="7"/>
    <col width="18" customWidth="1" min="8" max="8"/>
    <col width="18" customWidth="1" min="9" max="9"/>
    <col width="24" customWidth="1" min="10" max="10"/>
    <col width="24" customWidth="1" min="11" max="11"/>
  </cols>
  <sheetData>
    <row r="1" ht="28" customHeight="1">
      <c r="A1" s="1" t="inlineStr">
        <is>
          <t>รายงานสรุปภาพรวมการใช้ไฟฟ้า โซล่าเซลล์ และประสิทธิภาพการเข้าพัก (Executive Summary)</t>
        </is>
      </c>
    </row>
    <row r="2" ht="18" customHeight="1">
      <c r="A2" s="2" t="inlineStr">
        <is>
          <t>โครงการ: LV Pool Villa &amp; Office Cha-am | ข้อมูลระบบ SolarMan (ม.ค. - ก.ย. 69) &amp; ข้อมูลการเข้าพัก-ค่าไฟจริง (พ.ค. - ส.ค. 69)</t>
        </is>
      </c>
    </row>
    <row r="3" ht="10" customHeight="1"/>
    <row r="4" ht="18" customHeight="1">
      <c r="A4" s="3" t="inlineStr">
        <is>
          <t>⚡ รวมการใช้ไฟฟ้ารวม (kWh)</t>
        </is>
      </c>
      <c r="B4" s="62" t="n"/>
      <c r="C4" s="5" t="inlineStr">
        <is>
          <t>☀️ ผลิตไฟจากโซล่าเซลล์ (kWh)</t>
        </is>
      </c>
      <c r="D4" s="62" t="n"/>
      <c r="E4" s="7" t="inlineStr">
        <is>
          <t>🔌 ไฟฟ้าที่ซื้อจากการไฟฟ้า (kWh)</t>
        </is>
      </c>
      <c r="F4" s="62" t="n"/>
      <c r="G4" s="9" t="inlineStr">
        <is>
          <t>🔄 ไฟฟ้าส่งออก/ขายคืน (kWh)</t>
        </is>
      </c>
      <c r="H4" s="62" t="n"/>
      <c r="I4" s="11" t="inlineStr">
        <is>
          <t>🛏️ คืนพักรวม (4 เดือน)</t>
        </is>
      </c>
      <c r="J4" s="5" t="inlineStr">
        <is>
          <t>💰 ประหยัดเงินรวม (THB)</t>
        </is>
      </c>
      <c r="K4" s="62" t="n"/>
    </row>
    <row r="5" ht="24" customHeight="1">
      <c r="A5" s="12" t="inlineStr">
        <is>
          <t>41,630.30 kWh</t>
        </is>
      </c>
      <c r="B5" s="62" t="n"/>
      <c r="C5" s="13" t="inlineStr">
        <is>
          <t>17,965.90 kWh</t>
        </is>
      </c>
      <c r="D5" s="62" t="n"/>
      <c r="E5" s="14" t="inlineStr">
        <is>
          <t>24,183.40 kWh</t>
        </is>
      </c>
      <c r="F5" s="62" t="n"/>
      <c r="G5" s="15" t="inlineStr">
        <is>
          <t>2,721.60 kWh</t>
        </is>
      </c>
      <c r="H5" s="62" t="n"/>
      <c r="I5" s="16" t="inlineStr">
        <is>
          <t>141 คืน</t>
        </is>
      </c>
      <c r="J5" s="13" t="inlineStr">
        <is>
          <t>57,356.27 บาท</t>
        </is>
      </c>
      <c r="K5" s="62" t="n"/>
    </row>
    <row r="6" ht="16" customHeight="1">
      <c r="A6" s="17" t="inlineStr">
        <is>
          <t>เฉลี่ย 4,625.59 kWh/เดือน</t>
        </is>
      </c>
      <c r="B6" s="62" t="n"/>
      <c r="C6" s="18" t="inlineStr">
        <is>
          <t>ทดแทนการใช้ไฟได้ 43.16%</t>
        </is>
      </c>
      <c r="D6" s="62" t="n"/>
      <c r="E6" s="19" t="inlineStr">
        <is>
          <t>คิดเป็น 58.09% ของการใช้ไฟ</t>
        </is>
      </c>
      <c r="F6" s="62" t="n"/>
      <c r="G6" s="20" t="inlineStr">
        <is>
          <t>ส่งออกไฟส่วนเกินเข้าระบบ</t>
        </is>
      </c>
      <c r="H6" s="62" t="n"/>
      <c r="I6" s="21" t="inlineStr">
        <is>
          <t>เฉลี่ย 35.25 คืน/เดือน</t>
        </is>
      </c>
      <c r="J6" s="18" t="inlineStr">
        <is>
          <t>*ไม่รวม B3 ที่ยังไม่ตั้งค่าราคา</t>
        </is>
      </c>
      <c r="K6" s="62" t="n"/>
    </row>
    <row r="7" ht="12" customHeight="1"/>
    <row r="8" ht="24" customHeight="1">
      <c r="A8" s="22" t="inlineStr">
        <is>
          <t>1. ตารางสรุปภาพรวมระบบไฟฟ้าและโซล่าเซลล์แยกตามหลัง/อาคาร (Building Summary Table)</t>
        </is>
      </c>
    </row>
    <row r="9" ht="30" customHeight="1">
      <c r="A9" s="23" t="inlineStr">
        <is>
          <t>ลำดับ</t>
        </is>
      </c>
      <c r="B9" s="23" t="inlineStr">
        <is>
          <t>ชื่ออาคาร / สถานีไฟฟ้า</t>
        </is>
      </c>
      <c r="C9" s="23" t="inlineStr">
        <is>
          <t>จำนวนเดือน</t>
        </is>
      </c>
      <c r="D9" s="23" t="inlineStr">
        <is>
          <t>ปริมาณการใช้ไฟฟ้า
(kWh)</t>
        </is>
      </c>
      <c r="E9" s="23" t="inlineStr">
        <is>
          <t>สัดส่วนการใช้ไฟ
(% Share)</t>
        </is>
      </c>
      <c r="F9" s="23" t="inlineStr">
        <is>
          <t>การผลิตไฟโซล่าร์
(kWh)</t>
        </is>
      </c>
      <c r="G9" s="23" t="inlineStr">
        <is>
          <t>ซื้อจากการไฟฟ้า
(kWh)</t>
        </is>
      </c>
      <c r="H9" s="23" t="inlineStr">
        <is>
          <t>ส่งออกไฟฟ้า
(kWh)</t>
        </is>
      </c>
      <c r="I9" s="23" t="inlineStr">
        <is>
          <t>ชาร์จแบตเตอรี่
(kWh)</t>
        </is>
      </c>
      <c r="J9" s="23" t="inlineStr">
        <is>
          <t>ประหยัดเงินตามระบบ
(THB)</t>
        </is>
      </c>
      <c r="K9" s="23" t="inlineStr">
        <is>
          <t>สัดส่วนโซล่าร์ต่อการใช้
(Coverage %)</t>
        </is>
      </c>
    </row>
    <row r="10" ht="20" customHeight="1">
      <c r="A10" s="24" t="n">
        <v>1</v>
      </c>
      <c r="B10" s="25" t="inlineStr">
        <is>
          <t>Building 1 (หลังที่ 1)</t>
        </is>
      </c>
      <c r="C10" s="24" t="inlineStr">
        <is>
          <t>9 เดือน</t>
        </is>
      </c>
      <c r="D10" s="26" t="n">
        <v>15342.1</v>
      </c>
      <c r="E10" s="27">
        <f>D10/D$16</f>
        <v/>
      </c>
      <c r="F10" s="26" t="n">
        <v>5520.200000000001</v>
      </c>
      <c r="G10" s="26" t="n">
        <v>10091.6</v>
      </c>
      <c r="H10" s="26" t="n">
        <v>1089.1</v>
      </c>
      <c r="I10" s="26" t="n">
        <v>1350.5</v>
      </c>
      <c r="J10" s="26" t="n">
        <v>18216.66</v>
      </c>
      <c r="K10" s="27">
        <f>IF(D10&gt;0, F10/D10, 0)</f>
        <v/>
      </c>
    </row>
    <row r="11" ht="20" customHeight="1">
      <c r="A11" s="28" t="n">
        <v>2</v>
      </c>
      <c r="B11" s="29" t="inlineStr">
        <is>
          <t>Building 2 (หลังที่ 2)</t>
        </is>
      </c>
      <c r="C11" s="28" t="inlineStr">
        <is>
          <t>9 เดือน</t>
        </is>
      </c>
      <c r="D11" s="30" t="n">
        <v>9346.299999999999</v>
      </c>
      <c r="E11" s="31">
        <f>D11/D$16</f>
        <v/>
      </c>
      <c r="F11" s="30" t="n">
        <v>3543.1</v>
      </c>
      <c r="G11" s="30" t="n">
        <v>5855.900000000001</v>
      </c>
      <c r="H11" s="30" t="n">
        <v>529.4</v>
      </c>
      <c r="I11" s="30" t="n">
        <v>578.7</v>
      </c>
      <c r="J11" s="30" t="n">
        <v>11692.23</v>
      </c>
      <c r="K11" s="31">
        <f>IF(D11&gt;0, F11/D11, 0)</f>
        <v/>
      </c>
    </row>
    <row r="12" ht="20" customHeight="1">
      <c r="A12" s="24" t="n">
        <v>3</v>
      </c>
      <c r="B12" s="25" t="inlineStr">
        <is>
          <t>Building 3 (หลังที่ 3)</t>
        </is>
      </c>
      <c r="C12" s="24" t="inlineStr">
        <is>
          <t>7 เดือน</t>
        </is>
      </c>
      <c r="D12" s="26" t="n">
        <v>6108</v>
      </c>
      <c r="E12" s="27">
        <f>D12/D$16</f>
        <v/>
      </c>
      <c r="F12" s="26" t="n">
        <v>2420</v>
      </c>
      <c r="G12" s="26" t="n">
        <v>3821.8</v>
      </c>
      <c r="H12" s="26" t="n">
        <v>791.1999999999999</v>
      </c>
      <c r="I12" s="26" t="n">
        <v>923.4</v>
      </c>
      <c r="J12" s="26" t="n">
        <v>0</v>
      </c>
      <c r="K12" s="27">
        <f>IF(D12&gt;0, F12/D12, 0)</f>
        <v/>
      </c>
    </row>
    <row r="13" ht="20" customHeight="1">
      <c r="A13" s="28" t="n">
        <v>4</v>
      </c>
      <c r="B13" s="29" t="inlineStr">
        <is>
          <t>Building 4 (หลังที่ 4)</t>
        </is>
      </c>
      <c r="C13" s="28" t="inlineStr">
        <is>
          <t>2 เดือน</t>
        </is>
      </c>
      <c r="D13" s="30" t="n">
        <v>187.4</v>
      </c>
      <c r="E13" s="31">
        <f>D13/D$16</f>
        <v/>
      </c>
      <c r="F13" s="30" t="n">
        <v>74.5</v>
      </c>
      <c r="G13" s="30" t="n">
        <v>122.3</v>
      </c>
      <c r="H13" s="30" t="n">
        <v>2.6</v>
      </c>
      <c r="I13" s="30" t="n">
        <v>7.9</v>
      </c>
      <c r="J13" s="30" t="n">
        <v>245.85</v>
      </c>
      <c r="K13" s="31">
        <f>IF(D13&gt;0, F13/D13, 0)</f>
        <v/>
      </c>
    </row>
    <row r="14" ht="20" customHeight="1">
      <c r="A14" s="24" t="n">
        <v>5</v>
      </c>
      <c r="B14" s="25" t="inlineStr">
        <is>
          <t>Building 5 (หลังที่ 5)</t>
        </is>
      </c>
      <c r="C14" s="24" t="inlineStr">
        <is>
          <t>9 เดือน</t>
        </is>
      </c>
      <c r="D14" s="26" t="n">
        <v>6652.3</v>
      </c>
      <c r="E14" s="27">
        <f>D14/D$16</f>
        <v/>
      </c>
      <c r="F14" s="26" t="n">
        <v>2413.9</v>
      </c>
      <c r="G14" s="26" t="n">
        <v>4291.8</v>
      </c>
      <c r="H14" s="26" t="n">
        <v>309.3</v>
      </c>
      <c r="I14" s="26" t="n">
        <v>347.9</v>
      </c>
      <c r="J14" s="26" t="n">
        <v>7965.869999999999</v>
      </c>
      <c r="K14" s="27">
        <f>IF(D14&gt;0, F14/D14, 0)</f>
        <v/>
      </c>
    </row>
    <row r="15" ht="20" customHeight="1">
      <c r="A15" s="28" t="n">
        <v>6</v>
      </c>
      <c r="B15" s="29" t="inlineStr">
        <is>
          <t>Office (ออฟฟิศ)</t>
        </is>
      </c>
      <c r="C15" s="28" t="inlineStr">
        <is>
          <t>8 เดือน</t>
        </is>
      </c>
      <c r="D15" s="30" t="n">
        <v>3994.2</v>
      </c>
      <c r="E15" s="31">
        <f>D15/D$16</f>
        <v/>
      </c>
      <c r="F15" s="30" t="n">
        <v>3994.2</v>
      </c>
      <c r="G15" s="30" t="n">
        <v>0</v>
      </c>
      <c r="H15" s="30" t="n">
        <v>0</v>
      </c>
      <c r="I15" s="30" t="n">
        <v>0</v>
      </c>
      <c r="J15" s="30" t="n">
        <v>19235.66</v>
      </c>
      <c r="K15" s="31">
        <f>IF(D15&gt;0, F15/D15, 0)</f>
        <v/>
      </c>
    </row>
    <row r="16" ht="22" customHeight="1">
      <c r="A16" s="32" t="inlineStr">
        <is>
          <t>-</t>
        </is>
      </c>
      <c r="B16" s="33" t="inlineStr">
        <is>
          <t>รวมทั้งหมด (Total)</t>
        </is>
      </c>
      <c r="C16" s="32" t="inlineStr">
        <is>
          <t>6 อาคาร</t>
        </is>
      </c>
      <c r="D16" s="34">
        <f>SUM(D10:D15)</f>
        <v/>
      </c>
      <c r="E16" s="35">
        <f>SUM(E10:E15)</f>
        <v/>
      </c>
      <c r="F16" s="34">
        <f>SUM(F10:F15)</f>
        <v/>
      </c>
      <c r="G16" s="34">
        <f>SUM(G10:G15)</f>
        <v/>
      </c>
      <c r="H16" s="34">
        <f>SUM(H10:H15)</f>
        <v/>
      </c>
      <c r="I16" s="34">
        <f>SUM(I10:I15)</f>
        <v/>
      </c>
      <c r="J16" s="34">
        <f>SUM(J10:J15)</f>
        <v/>
      </c>
      <c r="K16" s="35">
        <f>F16/D16</f>
        <v/>
      </c>
    </row>
  </sheetData>
  <mergeCells count="21">
    <mergeCell ref="I5"/>
    <mergeCell ref="C6:D6"/>
    <mergeCell ref="J5:K5"/>
    <mergeCell ref="I4"/>
    <mergeCell ref="C5:D5"/>
    <mergeCell ref="E5:F5"/>
    <mergeCell ref="A1:K1"/>
    <mergeCell ref="A6:B6"/>
    <mergeCell ref="C4:D4"/>
    <mergeCell ref="E4:F4"/>
    <mergeCell ref="J6:K6"/>
    <mergeCell ref="I6"/>
    <mergeCell ref="G6:H6"/>
    <mergeCell ref="J4:K4"/>
    <mergeCell ref="E6:F6"/>
    <mergeCell ref="A5:B5"/>
    <mergeCell ref="A2:K2"/>
    <mergeCell ref="G5:H5"/>
    <mergeCell ref="A8:K8"/>
    <mergeCell ref="A4:B4"/>
    <mergeCell ref="G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20" customWidth="1" min="8" max="8"/>
    <col width="20" customWidth="1" min="9" max="9"/>
    <col width="35" customWidth="1" min="10" max="10"/>
  </cols>
  <sheetData>
    <row r="1" ht="28" customHeight="1">
      <c r="A1" s="63" t="inlineStr">
        <is>
          <t>รายงานเปรียบเทียบค่าไฟฟ้าจริงจากการไฟฟ้า (PEA) vs ประหยัดจากโซล่าเซลล์ (มี.ค. - ส.ค. 69)</t>
        </is>
      </c>
    </row>
    <row r="2" ht="18" customHeight="1">
      <c r="A2" s="2" t="inlineStr">
        <is>
          <t>ข้อมูลบิลจริงจาก กฟภ. แยกตาม 4 มิเตอร์: ออฟฟิศ, หลัง 1, หลัง 2-3 (รวม), หลัง 4-5 (รวม) เปรียบเทียบกับไฟฟรีที่โซล่าเซลล์ผลิตได้</t>
        </is>
      </c>
    </row>
    <row r="3" ht="10" customHeight="1"/>
    <row r="4" ht="22" customHeight="1">
      <c r="A4" s="22" t="inlineStr">
        <is>
          <t>1. ตารางค่าไฟที่จ่ายจริงให้การไฟฟ้า (PEA Total Cost - บาท) แยกตามมิเตอร์</t>
        </is>
      </c>
    </row>
    <row r="5" ht="26" customHeight="1">
      <c r="A5" s="64" t="inlineStr">
        <is>
          <t>เดือน (Period)</t>
        </is>
      </c>
      <c r="B5" s="64" t="inlineStr">
        <is>
          <t>ชื่อเดือน</t>
        </is>
      </c>
      <c r="C5" s="64" t="inlineStr">
        <is>
          <t>ออฟฟิศ (บาท)</t>
        </is>
      </c>
      <c r="D5" s="64" t="inlineStr">
        <is>
          <t>หลัง 1 (บาท)</t>
        </is>
      </c>
      <c r="E5" s="64" t="inlineStr">
        <is>
          <t>หลัง 2-3 รวม (บาท)</t>
        </is>
      </c>
      <c r="F5" s="64" t="inlineStr">
        <is>
          <t>หลัง 4-5 รวม (บาท)</t>
        </is>
      </c>
      <c r="G5" s="64" t="inlineStr">
        <is>
          <t>ค่าไฟจ่ายจริงรวม (บาท)</t>
        </is>
      </c>
      <c r="H5" s="64" t="inlineStr">
        <is>
          <t>หน่วยไฟที่ซื้อ (kWh)</t>
        </is>
      </c>
      <c r="I5" s="64" t="inlineStr">
        <is>
          <t>ค่าไฟเฉลี่ย (บ./หน่วย)</t>
        </is>
      </c>
    </row>
    <row r="6" ht="20" customHeight="1">
      <c r="A6" s="37" t="inlineStr">
        <is>
          <t>2026/03</t>
        </is>
      </c>
      <c r="B6" s="48" t="inlineStr">
        <is>
          <t>มีนาคม 2569</t>
        </is>
      </c>
      <c r="C6" s="26" t="n">
        <v>2622.84</v>
      </c>
      <c r="D6" s="26" t="n">
        <v>7767.52</v>
      </c>
      <c r="E6" s="26" t="n">
        <v>6766.62</v>
      </c>
      <c r="F6" s="26" t="n">
        <v>8545.98</v>
      </c>
      <c r="G6" s="39">
        <f>SUM(C6:F6)</f>
        <v/>
      </c>
      <c r="H6" s="65" t="n">
        <v>5494</v>
      </c>
      <c r="I6" s="26">
        <f>G6/H6</f>
        <v/>
      </c>
    </row>
    <row r="7" ht="20" customHeight="1">
      <c r="A7" s="40" t="inlineStr">
        <is>
          <t>2026/04</t>
        </is>
      </c>
      <c r="B7" s="66" t="inlineStr">
        <is>
          <t>เมษายน 2569 (พีค)</t>
        </is>
      </c>
      <c r="C7" s="30" t="n">
        <v>6142.88</v>
      </c>
      <c r="D7" s="30" t="n">
        <v>11026.45</v>
      </c>
      <c r="E7" s="30" t="n">
        <v>10581.62</v>
      </c>
      <c r="F7" s="30" t="n">
        <v>12220.75</v>
      </c>
      <c r="G7" s="39">
        <f>SUM(C7:F7)</f>
        <v/>
      </c>
      <c r="H7" s="67" t="n">
        <v>8445</v>
      </c>
      <c r="I7" s="30">
        <f>G7/H7</f>
        <v/>
      </c>
    </row>
    <row r="8" ht="20" customHeight="1">
      <c r="A8" s="37" t="inlineStr">
        <is>
          <t>2026/05</t>
        </is>
      </c>
      <c r="B8" s="48" t="inlineStr">
        <is>
          <t>พฤษภาคม 2569</t>
        </is>
      </c>
      <c r="C8" s="26" t="n">
        <v>8971.389999999999</v>
      </c>
      <c r="D8" s="26" t="n">
        <v>12370.47</v>
      </c>
      <c r="E8" s="26" t="n">
        <v>13865.96</v>
      </c>
      <c r="F8" s="26" t="n">
        <v>21426.16</v>
      </c>
      <c r="G8" s="39">
        <f>SUM(C8:F8)</f>
        <v/>
      </c>
      <c r="H8" s="65" t="n">
        <v>13166</v>
      </c>
      <c r="I8" s="26">
        <f>G8/H8</f>
        <v/>
      </c>
    </row>
    <row r="9" ht="20" customHeight="1">
      <c r="A9" s="40" t="inlineStr">
        <is>
          <t>2026/06</t>
        </is>
      </c>
      <c r="B9" s="66" t="inlineStr">
        <is>
          <t>มิถุนายน 2569</t>
        </is>
      </c>
      <c r="C9" s="30" t="n">
        <v>3492.65</v>
      </c>
      <c r="D9" s="30" t="n">
        <v>3217.97</v>
      </c>
      <c r="E9" s="30" t="n">
        <v>5544.32</v>
      </c>
      <c r="F9" s="30" t="n">
        <v>4894.32</v>
      </c>
      <c r="G9" s="39">
        <f>SUM(C9:F9)</f>
        <v/>
      </c>
      <c r="H9" s="67" t="n">
        <v>4067</v>
      </c>
      <c r="I9" s="30">
        <f>G9/H9</f>
        <v/>
      </c>
    </row>
    <row r="10" ht="20" customHeight="1">
      <c r="A10" s="37" t="inlineStr">
        <is>
          <t>2026/07</t>
        </is>
      </c>
      <c r="B10" s="48" t="inlineStr">
        <is>
          <t>กรกฎาคม 2569</t>
        </is>
      </c>
      <c r="C10" s="26" t="n">
        <v>2335.09</v>
      </c>
      <c r="D10" s="26" t="n">
        <v>2928.58</v>
      </c>
      <c r="E10" s="26" t="n">
        <v>3436.11</v>
      </c>
      <c r="F10" s="26" t="n">
        <v>2148.95</v>
      </c>
      <c r="G10" s="39">
        <f>SUM(C10:F10)</f>
        <v/>
      </c>
      <c r="H10" s="65" t="n">
        <v>2732</v>
      </c>
      <c r="I10" s="26">
        <f>G10/H10</f>
        <v/>
      </c>
    </row>
    <row r="11" ht="20" customHeight="1">
      <c r="A11" s="40" t="inlineStr">
        <is>
          <t>2026/08</t>
        </is>
      </c>
      <c r="B11" s="66" t="inlineStr">
        <is>
          <t>สิงหาคม 2569</t>
        </is>
      </c>
      <c r="C11" s="30" t="n">
        <v>4478.53</v>
      </c>
      <c r="D11" s="30" t="n">
        <v>3016.88</v>
      </c>
      <c r="E11" s="30" t="n">
        <v>4084.64</v>
      </c>
      <c r="F11" s="30" t="n">
        <v>4540.07</v>
      </c>
      <c r="G11" s="39">
        <f>SUM(C11:F11)</f>
        <v/>
      </c>
      <c r="H11" s="67" t="n">
        <v>4011</v>
      </c>
      <c r="I11" s="30">
        <f>G11/H11</f>
        <v/>
      </c>
    </row>
    <row r="12" ht="22" customHeight="1">
      <c r="A12" s="32" t="inlineStr">
        <is>
          <t>-</t>
        </is>
      </c>
      <c r="B12" s="33" t="inlineStr">
        <is>
          <t>รวมจ่ายจริง 6 เดือน</t>
        </is>
      </c>
      <c r="C12" s="34">
        <f>SUM(C6:C11)</f>
        <v/>
      </c>
      <c r="D12" s="34">
        <f>SUM(D6:D11)</f>
        <v/>
      </c>
      <c r="E12" s="34">
        <f>SUM(E6:E11)</f>
        <v/>
      </c>
      <c r="F12" s="34">
        <f>SUM(F6:F11)</f>
        <v/>
      </c>
      <c r="G12" s="34">
        <f>SUM(G6:G11)</f>
        <v/>
      </c>
      <c r="H12" s="60">
        <f>SUM(H6:H11)</f>
        <v/>
      </c>
      <c r="I12" s="34">
        <f>G12/H12</f>
        <v/>
      </c>
    </row>
    <row r="14" ht="22" customHeight="1">
      <c r="A14" s="22" t="inlineStr">
        <is>
          <t>2. ตารางสรุปผลเปรียบเทียบ: ค่าไฟจ่ายจริง (มีโซล่าร์) vs ค่าไฟถ้าไม่มีโซล่าร์ vs เงินที่ประหยัดได้</t>
        </is>
      </c>
    </row>
    <row r="15" ht="28" customHeight="1">
      <c r="A15" s="68" t="inlineStr">
        <is>
          <t>เดือน</t>
        </is>
      </c>
      <c r="B15" s="68" t="inlineStr">
        <is>
          <t>ค่าไฟจ่ายจริง กฟภ.
(บาท)</t>
        </is>
      </c>
      <c r="C15" s="68" t="inlineStr">
        <is>
          <t>โซล่าร์ผลิตได้
(หน่วย kWh)</t>
        </is>
      </c>
      <c r="D15" s="68" t="inlineStr">
        <is>
          <t>อัตราค่าไฟเฉลี่ย
(บ./หน่วย)</t>
        </is>
      </c>
      <c r="E15" s="68" t="inlineStr">
        <is>
          <t>เงินที่โซล่าร์ประหยัดให้
(บาท)</t>
        </is>
      </c>
      <c r="F15" s="68" t="inlineStr">
        <is>
          <t>ค่าไฟถ้าไม่มีโซล่าร์
(บาท)</t>
        </is>
      </c>
      <c r="G15" s="68" t="inlineStr">
        <is>
          <t>สัดส่วนเงินประหยัด
(% Savings)</t>
        </is>
      </c>
      <c r="H15" s="68" t="inlineStr">
        <is>
          <t>สถานะความคุ้มค่า</t>
        </is>
      </c>
    </row>
    <row r="16" ht="20" customHeight="1">
      <c r="A16" s="48">
        <f>B6</f>
        <v/>
      </c>
      <c r="B16" s="38">
        <f>G6</f>
        <v/>
      </c>
      <c r="C16" s="38" t="n">
        <v>2309.5</v>
      </c>
      <c r="D16" s="38">
        <f>I6</f>
        <v/>
      </c>
      <c r="E16" s="39">
        <f>C16*D16</f>
        <v/>
      </c>
      <c r="F16" s="39">
        <f>B16+E16</f>
        <v/>
      </c>
      <c r="G16" s="69">
        <f>E16/F16</f>
        <v/>
      </c>
      <c r="H16" s="48" t="inlineStr">
        <is>
          <t>🌟 คุ้มค่ามาก: ประหยัดไปได้ ~29.6%</t>
        </is>
      </c>
    </row>
    <row r="17" ht="20" customHeight="1">
      <c r="A17" s="66">
        <f>B7</f>
        <v/>
      </c>
      <c r="B17" s="41">
        <f>G7</f>
        <v/>
      </c>
      <c r="C17" s="41" t="n">
        <v>2902.9</v>
      </c>
      <c r="D17" s="41">
        <f>I7</f>
        <v/>
      </c>
      <c r="E17" s="39">
        <f>C17*D17</f>
        <v/>
      </c>
      <c r="F17" s="39">
        <f>B17+E17</f>
        <v/>
      </c>
      <c r="G17" s="69">
        <f>E17/F17</f>
        <v/>
      </c>
      <c r="H17" s="66" t="inlineStr">
        <is>
          <t>🏆 สูงสุดในรอบปี: ประหยัดเงินสดไป 13,739 บาท</t>
        </is>
      </c>
    </row>
    <row r="18" ht="20" customHeight="1">
      <c r="A18" s="48">
        <f>B8</f>
        <v/>
      </c>
      <c r="B18" s="38">
        <f>G8</f>
        <v/>
      </c>
      <c r="C18" s="38" t="n">
        <v>2789.7</v>
      </c>
      <c r="D18" s="38">
        <f>I8</f>
        <v/>
      </c>
      <c r="E18" s="39">
        <f>C18*D18</f>
        <v/>
      </c>
      <c r="F18" s="39">
        <f>B18+E18</f>
        <v/>
      </c>
      <c r="G18" s="69">
        <f>E18/F18</f>
        <v/>
      </c>
      <c r="H18" s="48" t="inlineStr">
        <is>
          <t>⚡ แขกหนาแน่น: ประหยัดเงินสดไป 12,000 บาท</t>
        </is>
      </c>
    </row>
    <row r="19" ht="20" customHeight="1">
      <c r="A19" s="66">
        <f>B9</f>
        <v/>
      </c>
      <c r="B19" s="41">
        <f>G9</f>
        <v/>
      </c>
      <c r="C19" s="41" t="n">
        <v>2202.9</v>
      </c>
      <c r="D19" s="41">
        <f>I9</f>
        <v/>
      </c>
      <c r="E19" s="39">
        <f>C19*D19</f>
        <v/>
      </c>
      <c r="F19" s="39">
        <f>B19+E19</f>
        <v/>
      </c>
      <c r="G19" s="69">
        <f>E19/F19</f>
        <v/>
      </c>
      <c r="H19" s="66" t="inlineStr">
        <is>
          <t>🌟 ดีเยี่ยม: ประหยัดไปได้ ~35.1%</t>
        </is>
      </c>
    </row>
    <row r="20" ht="20" customHeight="1">
      <c r="A20" s="48">
        <f>B10</f>
        <v/>
      </c>
      <c r="B20" s="38">
        <f>G10</f>
        <v/>
      </c>
      <c r="C20" s="38" t="n">
        <v>2001</v>
      </c>
      <c r="D20" s="38">
        <f>I10</f>
        <v/>
      </c>
      <c r="E20" s="39">
        <f>C20*D20</f>
        <v/>
      </c>
      <c r="F20" s="39">
        <f>B20+E20</f>
        <v/>
      </c>
      <c r="G20" s="69">
        <f>E20/F20</f>
        <v/>
      </c>
      <c r="H20" s="48" t="inlineStr">
        <is>
          <t>🌟 คุ้มค่าสูงสุดต่อสัดส่วน: ลดค่าไฟไปถึง 42.3%</t>
        </is>
      </c>
    </row>
    <row r="21" ht="20" customHeight="1">
      <c r="A21" s="66">
        <f>B11</f>
        <v/>
      </c>
      <c r="B21" s="41">
        <f>G11</f>
        <v/>
      </c>
      <c r="C21" s="41" t="n">
        <v>1662.7</v>
      </c>
      <c r="D21" s="41">
        <f>I11</f>
        <v/>
      </c>
      <c r="E21" s="39">
        <f>C21*D21</f>
        <v/>
      </c>
      <c r="F21" s="39">
        <f>B21+E21</f>
        <v/>
      </c>
      <c r="G21" s="69">
        <f>E21/F21</f>
        <v/>
      </c>
      <c r="H21" s="66" t="inlineStr">
        <is>
          <t>💡 ประหยัดไปได้ ~29.3%</t>
        </is>
      </c>
    </row>
    <row r="22" ht="24" customHeight="1">
      <c r="A22" s="33" t="inlineStr">
        <is>
          <t>รวมทั้งหมด 6 เดือน</t>
        </is>
      </c>
      <c r="B22" s="34">
        <f>SUM(B16:B21)</f>
        <v/>
      </c>
      <c r="C22" s="34">
        <f>SUM(C16:C21)</f>
        <v/>
      </c>
      <c r="D22" s="34">
        <f>AVERAGE(D16:D21)</f>
        <v/>
      </c>
      <c r="E22" s="34">
        <f>SUM(E16:E21)</f>
        <v/>
      </c>
      <c r="F22" s="34">
        <f>SUM(F16:F21)</f>
        <v/>
      </c>
      <c r="G22" s="70">
        <f>E22/F22</f>
        <v/>
      </c>
      <c r="H22" s="33" t="inlineStr">
        <is>
          <t>🎯 สรุป: ประหยัดเงินรวมกว่า 60,461 บาท</t>
        </is>
      </c>
    </row>
  </sheetData>
  <mergeCells count="4">
    <mergeCell ref="A1:J1"/>
    <mergeCell ref="A4:J4"/>
    <mergeCell ref="A14:J14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5" customWidth="1" min="16" max="16"/>
  </cols>
  <sheetData>
    <row r="1" ht="28" customHeight="1">
      <c r="A1" s="63" t="inlineStr">
        <is>
          <t>ตารางเปรียบเทียบการผลิตไฟฟ้าโซล่าเซลล์ vs การใช้ไฟฟ้าจริง รายเดือนแยกตามแต่ละหลัง (kWh)</t>
        </is>
      </c>
    </row>
    <row r="2" ht="18" customHeight="1">
      <c r="A2" s="2" t="inlineStr">
        <is>
          <t>เปรียบเทียบหน่วยไฟฟ้า (kWh) ที่ผลิตได้จากแผงโซล่าเซลล์ vs หน่วยไฟฟ้าทั้งหมดที่อาคารนั้นใช้จริง ในแต่ละเดือน</t>
        </is>
      </c>
    </row>
    <row r="3" ht="10" customHeight="1"/>
    <row r="4" ht="22" customHeight="1">
      <c r="A4" s="72" t="inlineStr">
        <is>
          <t>เดือน (Period)</t>
        </is>
      </c>
      <c r="B4" s="73" t="inlineStr">
        <is>
          <t>Building 1 (หลัง 1)</t>
        </is>
      </c>
      <c r="D4" s="73" t="inlineStr">
        <is>
          <t>Building 2 (หลัง 2)</t>
        </is>
      </c>
      <c r="F4" s="73" t="inlineStr">
        <is>
          <t>Building 3 (หลัง 3)</t>
        </is>
      </c>
      <c r="H4" s="73" t="inlineStr">
        <is>
          <t>Building 4 (หลัง 4)</t>
        </is>
      </c>
      <c r="J4" s="73" t="inlineStr">
        <is>
          <t>Building 5 (หลัง 5)</t>
        </is>
      </c>
      <c r="L4" s="73" t="inlineStr">
        <is>
          <t>Office (ออฟฟิศ)</t>
        </is>
      </c>
      <c r="N4" s="74" t="inlineStr">
        <is>
          <t>⚡ รวมทั้งโครงการ (Total)</t>
        </is>
      </c>
    </row>
    <row r="5" ht="22" customHeight="1">
      <c r="A5" s="85" t="n"/>
      <c r="B5" s="75" t="inlineStr">
        <is>
          <t>ผลิต (kWh)</t>
        </is>
      </c>
      <c r="C5" s="76" t="inlineStr">
        <is>
          <t>ใช้ (kWh)</t>
        </is>
      </c>
      <c r="D5" s="75" t="inlineStr">
        <is>
          <t>ผลิต (kWh)</t>
        </is>
      </c>
      <c r="E5" s="76" t="inlineStr">
        <is>
          <t>ใช้ (kWh)</t>
        </is>
      </c>
      <c r="F5" s="75" t="inlineStr">
        <is>
          <t>ผลิต (kWh)</t>
        </is>
      </c>
      <c r="G5" s="76" t="inlineStr">
        <is>
          <t>ใช้ (kWh)</t>
        </is>
      </c>
      <c r="H5" s="75" t="inlineStr">
        <is>
          <t>ผลิต (kWh)</t>
        </is>
      </c>
      <c r="I5" s="76" t="inlineStr">
        <is>
          <t>ใช้ (kWh)</t>
        </is>
      </c>
      <c r="J5" s="75" t="inlineStr">
        <is>
          <t>ผลิต (kWh)</t>
        </is>
      </c>
      <c r="K5" s="76" t="inlineStr">
        <is>
          <t>ใช้ (kWh)</t>
        </is>
      </c>
      <c r="L5" s="75" t="inlineStr">
        <is>
          <t>ผลิต (kWh)</t>
        </is>
      </c>
      <c r="M5" s="76" t="inlineStr">
        <is>
          <t>ใช้ (kWh)</t>
        </is>
      </c>
      <c r="N5" s="75" t="inlineStr">
        <is>
          <t>ผลิตรวม (kWh)</t>
        </is>
      </c>
      <c r="O5" s="76" t="inlineStr">
        <is>
          <t>ใช้รวม (kWh)</t>
        </is>
      </c>
      <c r="P5" s="77" t="inlineStr">
        <is>
          <t>% โซล่าร์ช่วย</t>
        </is>
      </c>
    </row>
    <row r="6" ht="20" customHeight="1">
      <c r="A6" s="37" t="inlineStr">
        <is>
          <t>2026/01</t>
        </is>
      </c>
      <c r="B6" s="78" t="n">
        <v>675.8</v>
      </c>
      <c r="C6" s="78" t="n">
        <v>1488.1</v>
      </c>
      <c r="D6" s="78" t="n">
        <v>797.6</v>
      </c>
      <c r="E6" s="78" t="n">
        <v>1292.8</v>
      </c>
      <c r="F6" s="78" t="n">
        <v>0</v>
      </c>
      <c r="G6" s="78" t="n">
        <v>0</v>
      </c>
      <c r="H6" s="78" t="n">
        <v>0</v>
      </c>
      <c r="I6" s="78" t="n">
        <v>0</v>
      </c>
      <c r="J6" s="78" t="n">
        <v>306.8</v>
      </c>
      <c r="K6" s="78" t="n">
        <v>936.3</v>
      </c>
      <c r="L6" s="78" t="n">
        <v>232</v>
      </c>
      <c r="M6" s="78" t="n">
        <v>232</v>
      </c>
      <c r="N6" s="79">
        <f>B6+D6+F6+H6+J6+L6</f>
        <v/>
      </c>
      <c r="O6" s="79">
        <f>C6+E6+G6+I6+K6+M6</f>
        <v/>
      </c>
      <c r="P6" s="80">
        <f>N6/O6</f>
        <v/>
      </c>
    </row>
    <row r="7" ht="20" customHeight="1">
      <c r="A7" s="40" t="inlineStr">
        <is>
          <t>2026/02</t>
        </is>
      </c>
      <c r="B7" s="81" t="n">
        <v>574.4</v>
      </c>
      <c r="C7" s="81" t="n">
        <v>1494.6</v>
      </c>
      <c r="D7" s="81" t="n">
        <v>641.5</v>
      </c>
      <c r="E7" s="81" t="n">
        <v>1415.2</v>
      </c>
      <c r="F7" s="81" t="n">
        <v>0</v>
      </c>
      <c r="G7" s="81" t="n">
        <v>0</v>
      </c>
      <c r="H7" s="81" t="n">
        <v>0</v>
      </c>
      <c r="I7" s="81" t="n">
        <v>0</v>
      </c>
      <c r="J7" s="81" t="n">
        <v>317.3</v>
      </c>
      <c r="K7" s="81" t="n">
        <v>1057.1</v>
      </c>
      <c r="L7" s="81" t="n">
        <v>414.7</v>
      </c>
      <c r="M7" s="81" t="n">
        <v>414.7</v>
      </c>
      <c r="N7" s="79">
        <f>B7+D7+F7+H7+J7+L7</f>
        <v/>
      </c>
      <c r="O7" s="79">
        <f>C7+E7+G7+I7+K7+M7</f>
        <v/>
      </c>
      <c r="P7" s="80">
        <f>N7/O7</f>
        <v/>
      </c>
    </row>
    <row r="8" ht="20" customHeight="1">
      <c r="A8" s="37" t="inlineStr">
        <is>
          <t>2026/03</t>
        </is>
      </c>
      <c r="B8" s="78" t="n">
        <v>893.1</v>
      </c>
      <c r="C8" s="78" t="n">
        <v>2959.8</v>
      </c>
      <c r="D8" s="78" t="n">
        <v>410.9</v>
      </c>
      <c r="E8" s="78" t="n">
        <v>1264.3</v>
      </c>
      <c r="F8" s="78" t="n">
        <v>131.5</v>
      </c>
      <c r="G8" s="78" t="n">
        <v>137.9</v>
      </c>
      <c r="H8" s="78" t="n">
        <v>0</v>
      </c>
      <c r="I8" s="78" t="n">
        <v>0</v>
      </c>
      <c r="J8" s="78" t="n">
        <v>242.4</v>
      </c>
      <c r="K8" s="78" t="n">
        <v>498.8</v>
      </c>
      <c r="L8" s="78" t="n">
        <v>631.6</v>
      </c>
      <c r="M8" s="78" t="n">
        <v>631.6</v>
      </c>
      <c r="N8" s="79">
        <f>B8+D8+F8+H8+J8+L8</f>
        <v/>
      </c>
      <c r="O8" s="79">
        <f>C8+E8+G8+I8+K8+M8</f>
        <v/>
      </c>
      <c r="P8" s="80">
        <f>N8/O8</f>
        <v/>
      </c>
    </row>
    <row r="9" ht="20" customHeight="1">
      <c r="A9" s="40" t="inlineStr">
        <is>
          <t>2026/04</t>
        </is>
      </c>
      <c r="B9" s="81" t="n">
        <v>876.5</v>
      </c>
      <c r="C9" s="81" t="n">
        <v>3247.1</v>
      </c>
      <c r="D9" s="81" t="n">
        <v>511.7</v>
      </c>
      <c r="E9" s="81" t="n">
        <v>2009.4</v>
      </c>
      <c r="F9" s="81" t="n">
        <v>452.1</v>
      </c>
      <c r="G9" s="81" t="n">
        <v>1494.3</v>
      </c>
      <c r="H9" s="81" t="n">
        <v>0</v>
      </c>
      <c r="I9" s="81" t="n">
        <v>0</v>
      </c>
      <c r="J9" s="81" t="n">
        <v>377.2</v>
      </c>
      <c r="K9" s="81" t="n">
        <v>1020.8</v>
      </c>
      <c r="L9" s="81" t="n">
        <v>685.4</v>
      </c>
      <c r="M9" s="81" t="n">
        <v>685.4</v>
      </c>
      <c r="N9" s="79">
        <f>B9+D9+F9+H9+J9+L9</f>
        <v/>
      </c>
      <c r="O9" s="79">
        <f>C9+E9+G9+I9+K9+M9</f>
        <v/>
      </c>
      <c r="P9" s="80">
        <f>N9/O9</f>
        <v/>
      </c>
    </row>
    <row r="10" ht="20" customHeight="1">
      <c r="A10" s="37" t="inlineStr">
        <is>
          <t>2026/05</t>
        </is>
      </c>
      <c r="B10" s="78" t="n">
        <v>747</v>
      </c>
      <c r="C10" s="78" t="n">
        <v>2679.5</v>
      </c>
      <c r="D10" s="78" t="n">
        <v>437.2</v>
      </c>
      <c r="E10" s="78" t="n">
        <v>1817.7</v>
      </c>
      <c r="F10" s="78" t="n">
        <v>514.3</v>
      </c>
      <c r="G10" s="78" t="n">
        <v>1383.5</v>
      </c>
      <c r="H10" s="78" t="n">
        <v>0</v>
      </c>
      <c r="I10" s="78" t="n">
        <v>0</v>
      </c>
      <c r="J10" s="78" t="n">
        <v>418.8</v>
      </c>
      <c r="K10" s="78" t="n">
        <v>1727.2</v>
      </c>
      <c r="L10" s="78" t="n">
        <v>672.4</v>
      </c>
      <c r="M10" s="78" t="n">
        <v>672.4</v>
      </c>
      <c r="N10" s="79">
        <f>B10+D10+F10+H10+J10+L10</f>
        <v/>
      </c>
      <c r="O10" s="79">
        <f>C10+E10+G10+I10+K10+M10</f>
        <v/>
      </c>
      <c r="P10" s="80">
        <f>N10/O10</f>
        <v/>
      </c>
    </row>
    <row r="11" ht="20" customHeight="1">
      <c r="A11" s="40" t="inlineStr">
        <is>
          <t>2026/06</t>
        </is>
      </c>
      <c r="B11" s="81" t="n">
        <v>581.3</v>
      </c>
      <c r="C11" s="81" t="n">
        <v>1066.2</v>
      </c>
      <c r="D11" s="81" t="n">
        <v>275.4</v>
      </c>
      <c r="E11" s="81" t="n">
        <v>600.5</v>
      </c>
      <c r="F11" s="81" t="n">
        <v>497.8</v>
      </c>
      <c r="G11" s="81" t="n">
        <v>1021.6</v>
      </c>
      <c r="H11" s="81" t="n">
        <v>0</v>
      </c>
      <c r="I11" s="81" t="n">
        <v>0</v>
      </c>
      <c r="J11" s="81" t="n">
        <v>371.8</v>
      </c>
      <c r="K11" s="81" t="n">
        <v>749.2</v>
      </c>
      <c r="L11" s="81" t="n">
        <v>476.6</v>
      </c>
      <c r="M11" s="81" t="n">
        <v>476.6</v>
      </c>
      <c r="N11" s="79">
        <f>B11+D11+F11+H11+J11+L11</f>
        <v/>
      </c>
      <c r="O11" s="79">
        <f>C11+E11+G11+I11+K11+M11</f>
        <v/>
      </c>
      <c r="P11" s="80">
        <f>N11/O11</f>
        <v/>
      </c>
    </row>
    <row r="12" ht="20" customHeight="1">
      <c r="A12" s="37" t="inlineStr">
        <is>
          <t>2026/07</t>
        </is>
      </c>
      <c r="B12" s="78" t="n">
        <v>583.3</v>
      </c>
      <c r="C12" s="78" t="n">
        <v>1382.6</v>
      </c>
      <c r="D12" s="78" t="n">
        <v>237.3</v>
      </c>
      <c r="E12" s="78" t="n">
        <v>600.3</v>
      </c>
      <c r="F12" s="78" t="n">
        <v>404.9</v>
      </c>
      <c r="G12" s="78" t="n">
        <v>1166.7</v>
      </c>
      <c r="H12" s="78" t="n">
        <v>0</v>
      </c>
      <c r="I12" s="78" t="n">
        <v>0</v>
      </c>
      <c r="J12" s="78" t="n">
        <v>299.3</v>
      </c>
      <c r="K12" s="78" t="n">
        <v>472.9</v>
      </c>
      <c r="L12" s="78" t="n">
        <v>476.3</v>
      </c>
      <c r="M12" s="78" t="n">
        <v>476.3</v>
      </c>
      <c r="N12" s="79">
        <f>B12+D12+F12+H12+J12+L12</f>
        <v/>
      </c>
      <c r="O12" s="79">
        <f>C12+E12+G12+I12+K12+M12</f>
        <v/>
      </c>
      <c r="P12" s="80">
        <f>N12/O12</f>
        <v/>
      </c>
    </row>
    <row r="13" ht="20" customHeight="1">
      <c r="A13" s="40" t="inlineStr">
        <is>
          <t>2026/08</t>
        </is>
      </c>
      <c r="B13" s="81" t="n">
        <v>538.2</v>
      </c>
      <c r="C13" s="81" t="n">
        <v>873.8</v>
      </c>
      <c r="D13" s="81" t="n">
        <v>212.6</v>
      </c>
      <c r="E13" s="81" t="n">
        <v>323.8</v>
      </c>
      <c r="F13" s="81" t="n">
        <v>395.5</v>
      </c>
      <c r="G13" s="81" t="n">
        <v>867.3</v>
      </c>
      <c r="H13" s="81" t="n">
        <v>52.9</v>
      </c>
      <c r="I13" s="81" t="n">
        <v>157.3</v>
      </c>
      <c r="J13" s="81" t="n">
        <v>58.3</v>
      </c>
      <c r="K13" s="81" t="n">
        <v>158.4</v>
      </c>
      <c r="L13" s="81" t="n">
        <v>405.2</v>
      </c>
      <c r="M13" s="81" t="n">
        <v>405.2</v>
      </c>
      <c r="N13" s="79">
        <f>B13+D13+F13+H13+J13+L13</f>
        <v/>
      </c>
      <c r="O13" s="79">
        <f>C13+E13+G13+I13+K13+M13</f>
        <v/>
      </c>
      <c r="P13" s="80">
        <f>N13/O13</f>
        <v/>
      </c>
    </row>
    <row r="14" ht="20" customHeight="1">
      <c r="A14" s="37" t="inlineStr">
        <is>
          <t>2026/09*</t>
        </is>
      </c>
      <c r="B14" s="78" t="n">
        <v>50.6</v>
      </c>
      <c r="C14" s="78" t="n">
        <v>150.4</v>
      </c>
      <c r="D14" s="78" t="n">
        <v>18.9</v>
      </c>
      <c r="E14" s="78" t="n">
        <v>22.3</v>
      </c>
      <c r="F14" s="78" t="n">
        <v>23.9</v>
      </c>
      <c r="G14" s="78" t="n">
        <v>36.7</v>
      </c>
      <c r="H14" s="78" t="n">
        <v>21.6</v>
      </c>
      <c r="I14" s="78" t="n">
        <v>30.1</v>
      </c>
      <c r="J14" s="78" t="n">
        <v>22</v>
      </c>
      <c r="K14" s="78" t="n">
        <v>31.6</v>
      </c>
      <c r="L14" s="78" t="n">
        <v>0</v>
      </c>
      <c r="M14" s="78" t="n">
        <v>0</v>
      </c>
      <c r="N14" s="79">
        <f>B14+D14+F14+H14+J14+L14</f>
        <v/>
      </c>
      <c r="O14" s="79">
        <f>C14+E14+G14+I14+K14+M14</f>
        <v/>
      </c>
      <c r="P14" s="80">
        <f>N14/O14</f>
        <v/>
      </c>
    </row>
    <row r="15" ht="24" customHeight="1">
      <c r="A15" s="82" t="inlineStr">
        <is>
          <t>รวมสะสม 9 เดือน</t>
        </is>
      </c>
      <c r="B15" s="83">
        <f>SUM(B6:B14)</f>
        <v/>
      </c>
      <c r="C15" s="83">
        <f>SUM(C6:C14)</f>
        <v/>
      </c>
      <c r="D15" s="83">
        <f>SUM(D6:D14)</f>
        <v/>
      </c>
      <c r="E15" s="83">
        <f>SUM(E6:E14)</f>
        <v/>
      </c>
      <c r="F15" s="83">
        <f>SUM(F6:F14)</f>
        <v/>
      </c>
      <c r="G15" s="83">
        <f>SUM(G6:G14)</f>
        <v/>
      </c>
      <c r="H15" s="83">
        <f>SUM(H6:H14)</f>
        <v/>
      </c>
      <c r="I15" s="83">
        <f>SUM(I6:I14)</f>
        <v/>
      </c>
      <c r="J15" s="83">
        <f>SUM(J6:J14)</f>
        <v/>
      </c>
      <c r="K15" s="83">
        <f>SUM(K6:K14)</f>
        <v/>
      </c>
      <c r="L15" s="83">
        <f>SUM(L6:L14)</f>
        <v/>
      </c>
      <c r="M15" s="83">
        <f>SUM(M6:M14)</f>
        <v/>
      </c>
      <c r="N15" s="83">
        <f>SUM(N6:N14)</f>
        <v/>
      </c>
      <c r="O15" s="83">
        <f>SUM(O6:O14)</f>
        <v/>
      </c>
      <c r="P15" s="84">
        <f>N15/O15</f>
        <v/>
      </c>
    </row>
  </sheetData>
  <mergeCells count="10">
    <mergeCell ref="F4:G4"/>
    <mergeCell ref="J4:K4"/>
    <mergeCell ref="L4:M4"/>
    <mergeCell ref="A1:P1"/>
    <mergeCell ref="A4:A5"/>
    <mergeCell ref="D4:E4"/>
    <mergeCell ref="H4:I4"/>
    <mergeCell ref="N4:P4"/>
    <mergeCell ref="B4:C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4" customWidth="1" min="4" max="4"/>
    <col width="22" customWidth="1" min="5" max="5"/>
    <col width="30" customWidth="1" min="6" max="6"/>
    <col width="20" customWidth="1" min="7" max="7"/>
  </cols>
  <sheetData>
    <row r="1" ht="28" customHeight="1">
      <c r="A1" s="63" t="inlineStr">
        <is>
          <t>มาตรการประหยัดพลังงาน &amp; Check-list ปฏิบัติการโครงการ (Energy Saving SOP)</t>
        </is>
      </c>
    </row>
    <row r="2" ht="18" customHeight="1">
      <c r="A2" s="2" t="inlineStr">
        <is>
          <t>เปรียบเทียบแผนปฏิบัติเดิม vs แผนยกระดับใหม่ (Optimized with Solar Peak) เพื่อลดค่าไฟเพิ่ม 15-20%</t>
        </is>
      </c>
    </row>
    <row r="3" ht="10" customHeight="1"/>
    <row r="4" ht="22" customHeight="1">
      <c r="A4" s="22" t="inlineStr">
        <is>
          <t>1. ตารางเปรียบเทียบมาตรการประหยัดไฟฟ้า: แผนเดิม vs แผนแนะนำใหม่ที่ดียิ่งขึ้น</t>
        </is>
      </c>
    </row>
    <row r="5" ht="26" customHeight="1">
      <c r="A5" s="23" t="inlineStr">
        <is>
          <t>ลำดับ</t>
        </is>
      </c>
      <c r="B5" s="23" t="inlineStr">
        <is>
          <t>หมวดหมู่งาน</t>
        </is>
      </c>
      <c r="C5" s="23" t="inlineStr">
        <is>
          <t>แผนปฏิบัติการเดิม (Existing SOP)</t>
        </is>
      </c>
      <c r="D5" s="23" t="inlineStr">
        <is>
          <t>แผนแนะนำยกระดับใหม่ (Optimized SOP)</t>
        </is>
      </c>
      <c r="E5" s="23" t="inlineStr">
        <is>
          <t>ช่วงเวลาแนะนำ</t>
        </is>
      </c>
      <c r="F5" s="23" t="inlineStr">
        <is>
          <t>ผลลัพธ์ที่ได้ / ประหยัดเพิ่ม</t>
        </is>
      </c>
      <c r="G5" s="23" t="inlineStr">
        <is>
          <t>ผู้รับผิดชอบหลัก</t>
        </is>
      </c>
    </row>
    <row r="6" ht="54" customHeight="1">
      <c r="A6" s="86" t="n">
        <v>1</v>
      </c>
      <c r="B6" s="87" t="inlineStr">
        <is>
          <t>เครื่องปรับอากาศ (AC)</t>
        </is>
      </c>
      <c r="C6" s="88" t="inlineStr">
        <is>
          <t>• ปิดแอร์ระหว่างทำความสะอาด
• แอดมินโทรเช็กเวลาเข้าพัก เปิดแอร์ก่อนแขกถึง 5 นาที</t>
        </is>
      </c>
      <c r="D6" s="89" t="inlineStr">
        <is>
          <t>• ตั้งอุณหภูมิมาตรฐาน 25-26°C + พัดลมหมุนเวียน
• หากแขกเช็คอิน 14:00-15:00 น. ทำ Pre-Cooling ได้เลยด้วยไฟฟรีโซล่าร์
• ล้างฟิลเตอร์แอร์ทุก 2 สัปดาห์ &amp; ล้างใหญ่ทุก 3-6 เดือน
• ตรวจขอบยางประตู-หน้าต่างกระจกป้องกันแอร์รั่วไหล</t>
        </is>
      </c>
      <c r="E6" s="90" t="inlineStr">
        <is>
          <t>13:00 - 15:00 น. (Pre-cooling)
หลังแขกออก ปิดทันที</t>
        </is>
      </c>
      <c r="F6" s="88" t="inlineStr">
        <is>
          <t>ลดภาระแอร์กลางคืน 15%
ประหยัด ~฿1,200/เดือน</t>
        </is>
      </c>
      <c r="G6" s="90" t="inlineStr">
        <is>
          <t>แม่บ้าน / แอดมิน / ช่าง</t>
        </is>
      </c>
    </row>
    <row r="7" ht="54" customHeight="1">
      <c r="A7" s="91" t="n">
        <v>2</v>
      </c>
      <c r="B7" s="92" t="inlineStr">
        <is>
          <t>ปั๊มกรองสระว่ายน้ำ</t>
        </is>
      </c>
      <c r="C7" s="93" t="inlineStr">
        <is>
          <t>• เปิด 08:00-12:00 น. และ 15:00-18:00 น.
• บ้าน 2-5 เป็นระบบ Auto, บ้าน 1 Manual</t>
        </is>
      </c>
      <c r="D7" s="89" t="inlineStr">
        <is>
          <t>• ย้ายเวลาเดินปั๊มมาลงช่วง Solar Peak 10:00 - 15:00 น. 100%
• ติดตั้ง Smart Wi-Fi Timer ให้ครบทุกหลัง (ไม่ต้องเปิด Manual)
• เดินปั๊มต่อเนื่อง 4-5 ชม. ช่วงแดดจัด = ใช้ไฟฟรี กฟภ. คิด 0 บาท</t>
        </is>
      </c>
      <c r="E7" s="94" t="inlineStr">
        <is>
          <t>10:00 - 15:00 น.
(ช่วงแดดจัดพีคสุด)</t>
        </is>
      </c>
      <c r="F7" s="93" t="inlineStr">
        <is>
          <t>ดึงไฟฟรี 100% แทนซื้อ กฟภ.
ประหยัด ~฿1,500/เดือน</t>
        </is>
      </c>
      <c r="G7" s="94" t="inlineStr">
        <is>
          <t>ช่างสระ / ช่างเทคนิค</t>
        </is>
      </c>
    </row>
    <row r="8" ht="54" customHeight="1">
      <c r="A8" s="86" t="n">
        <v>3</v>
      </c>
      <c r="B8" s="87" t="inlineStr">
        <is>
          <t>ปั๊มสปา (Jacuzzi/Spa)</t>
        </is>
      </c>
      <c r="C8" s="88" t="inlineStr">
        <is>
          <t>• เปิด 14:00 - 16:00 น.
• บ้าน 2,3 เป็น Auto, บ้าน 1,4,5 เปิด Manual</t>
        </is>
      </c>
      <c r="D8" s="89" t="inlineStr">
        <is>
          <t>• ตั้งเวลาเปิดระบบสปาอัตโนมัติเฉพาะช่วง 11:30 - 14:30 น.
• เพิ่มปุ่มกดสปาแบบ Auto-Cut Off 15-30 นาที ป้องกันแขกเปิดทิ้งไว้
• ติดตั้งสวิตช์ Wi-Fi ให้บ้าน 1, 4, 5 ควบคุมผ่านมือถือได้</t>
        </is>
      </c>
      <c r="E8" s="90" t="inlineStr">
        <is>
          <t>11:30 - 14:30 น.
(หรือตามแขกกด Auto-cut)</t>
        </is>
      </c>
      <c r="F8" s="88" t="inlineStr">
        <is>
          <t>ตัดปัญหาเปิดปั๊มทิ้งค้างคืน
ประหยัด ~฿600/เดือน</t>
        </is>
      </c>
      <c r="G8" s="90" t="inlineStr">
        <is>
          <t>แม่บ้าน / ช่างสระ</t>
        </is>
      </c>
    </row>
    <row r="9" ht="54" customHeight="1">
      <c r="A9" s="91" t="n">
        <v>4</v>
      </c>
      <c r="B9" s="92" t="inlineStr">
        <is>
          <t>งานซักรีดและอบผ้า</t>
        </is>
      </c>
      <c r="C9" s="93" t="inlineStr">
        <is>
          <t>• คอยอบผ้าตามสภาพแดด วันละ 3 ใบ</t>
        </is>
      </c>
      <c r="D9" s="89" t="inlineStr">
        <is>
          <t>• กำหนด Golden Window งานซัก-อบผ้าช่วง 10:30 - 14:30 น. เท่านั้น
• ตากแดดธรรมชาติ 10-15 นาทีเพื่อไล่ความชื้นก่อนเข้าตู้อบ
• ห้ามใช้เครื่องอบผ้าหลัง 17:00 น. (เพราะดึงไฟหลวงราคาเต็ม)</t>
        </is>
      </c>
      <c r="E9" s="94" t="inlineStr">
        <is>
          <t>10:30 - 14:30 น. เท่านั้น
(ห้ามอบผ้าช่วงค่ำ)</t>
        </is>
      </c>
      <c r="F9" s="93" t="inlineStr">
        <is>
          <t>ลดการกินไฟตู้อบ 3kW
ประหยัด ~฿800/เดือน</t>
        </is>
      </c>
      <c r="G9" s="94" t="inlineStr">
        <is>
          <t>แม่บ้าน / ซักรีด</t>
        </is>
      </c>
    </row>
    <row r="10" ht="54" customHeight="1">
      <c r="A10" s="86" t="n">
        <v>5</v>
      </c>
      <c r="B10" s="87" t="inlineStr">
        <is>
          <t>การจัดลำดับการขายบ้าน
(Booking Allocation)</t>
        </is>
      </c>
      <c r="C10" s="88" t="inlineStr">
        <is>
          <t>• ขายบ้าน 1, 3, 4 ก่อน เนื่องจากแบตเตอรี่/โซล่าร์บ้าน 2, 5 เคยมีปัญหา</t>
        </is>
      </c>
      <c r="D10" s="89" t="inlineStr">
        <is>
          <t>• ลำดับการขายห้องตามกำลังผลิตโซล่าร์ปัจจุบัน:
  1) Priority 1: บ้าน 1 &amp; บ้าน 2 (ผลิตสูงสุด 600-900 หน่วย/ด.)
  2) Priority 2: บ้าน 3 &amp; บ้าน 5 (ผลิต 300-500 หน่วย/ด.)
  3) Priority 3: บ้าน 4 (ขายเมื่อหลังอื่นเต็ม)
• กระจายมิเตอร์คู่ (บ้าน 2-3 และ 4-5) ให้สมดุล</t>
        </is>
      </c>
      <c r="E10" s="90" t="inlineStr">
        <is>
          <t>ตลอดเวลาจัดห้องพัก</t>
        </is>
      </c>
      <c r="F10" s="88" t="inlineStr">
        <is>
          <t>เพิ่ม % การใช้ไฟฟรีจากแดด
ประหยัด ~฿1,000/เดือน</t>
        </is>
      </c>
      <c r="G10" s="90" t="inlineStr">
        <is>
          <t>แอดมินรับจอง / ฝ่ายขาย</t>
        </is>
      </c>
    </row>
    <row r="11" ht="54" customHeight="1">
      <c r="A11" s="91" t="n">
        <v>6</v>
      </c>
      <c r="B11" s="92" t="inlineStr">
        <is>
          <t>การเฝ้าระวังระบบ
(Daily Solar Monitoring)</t>
        </is>
      </c>
      <c r="C11" s="93" t="inlineStr">
        <is>
          <t>• ตรวจเช็กปกติเมื่อมีปัญหา</t>
        </is>
      </c>
      <c r="D11" s="89" t="inlineStr">
        <is>
          <t>• แอดมิน/ช่าง ตรวจแอป SolarMan ทุกเช้า 09:30 น.
• หากพบ Inverter ตัวไหน Offline หรือไม่ผลิตไฟ แจ้งช่างแก้ไขทันทีใน 2 ชม.
• ตรวจเช็กค่าไฟฐาน (Base Load) ตอนไม่มีแขกไม่ให้เกิน 10 หน่วย/วัน</t>
        </is>
      </c>
      <c r="E11" s="94" t="inlineStr">
        <is>
          <t>09:30 น. ทุกวัน</t>
        </is>
      </c>
      <c r="F11" s="93" t="inlineStr">
        <is>
          <t>ป้องกันไฟฟรีสูญหาย
รักษาประสิทธิภาพ 100%</t>
        </is>
      </c>
      <c r="G11" s="94" t="inlineStr">
        <is>
          <t>แอดมิน / ช่าง SolarMan</t>
        </is>
      </c>
    </row>
    <row r="13" ht="22" customHeight="1">
      <c r="A13" s="22" t="inlineStr">
        <is>
          <t>2. ตาราง Check-list ปฏิบัติการประจำวัน (Daily Energy Checklist for Staff)</t>
        </is>
      </c>
    </row>
    <row r="14" ht="24" customHeight="1">
      <c r="A14" s="95" t="inlineStr">
        <is>
          <t>เวลาตรวจสอบ</t>
        </is>
      </c>
      <c r="B14" s="95" t="inlineStr">
        <is>
          <t>รายการตรวจสอบประจำวัน</t>
        </is>
      </c>
      <c r="C14" s="95" t="inlineStr">
        <is>
          <t>เกณฑ์มาตรฐาน (Standard)</t>
        </is>
      </c>
      <c r="D14" s="95" t="inlineStr">
        <is>
          <t>บ้าน 1</t>
        </is>
      </c>
      <c r="E14" s="95" t="inlineStr">
        <is>
          <t>บ้าน 2-3</t>
        </is>
      </c>
      <c r="F14" s="95" t="inlineStr">
        <is>
          <t>บ้าน 4-5</t>
        </is>
      </c>
      <c r="G14" s="95" t="inlineStr">
        <is>
          <t>ออฟฟิศ</t>
        </is>
      </c>
    </row>
    <row r="15" ht="22" customHeight="1">
      <c r="A15" s="91" t="inlineStr">
        <is>
          <t>09:00 - 09:30 น.</t>
        </is>
      </c>
      <c r="B15" s="96" t="inlineStr">
        <is>
          <t>ตรวจแอป SolarMan สถานะ Inverter</t>
        </is>
      </c>
      <c r="C15" s="97" t="inlineStr">
        <is>
          <t>ไฟเขียวขึ้นครบทุกตู้ ไม่ Offline</t>
        </is>
      </c>
      <c r="D15" s="91" t="inlineStr">
        <is>
          <t>[  ] ปกติ</t>
        </is>
      </c>
      <c r="E15" s="91" t="inlineStr">
        <is>
          <t>[  ] ปกติ</t>
        </is>
      </c>
      <c r="F15" s="91" t="inlineStr">
        <is>
          <t>[  ] ปกติ</t>
        </is>
      </c>
      <c r="G15" s="91" t="inlineStr">
        <is>
          <t>[  ] ปกติ</t>
        </is>
      </c>
    </row>
    <row r="16" ht="22" customHeight="1">
      <c r="A16" s="86" t="inlineStr">
        <is>
          <t>10:00 - 15:00 น.</t>
        </is>
      </c>
      <c r="B16" s="98" t="inlineStr">
        <is>
          <t>เดินระบบปั๊มกรองสระว่ายน้ำ (Auto/Timer)</t>
        </is>
      </c>
      <c r="C16" s="99" t="inlineStr">
        <is>
          <t>เปิดทำงาน 4-5 ชม. ช่วงแดดจัด</t>
        </is>
      </c>
      <c r="D16" s="86" t="inlineStr">
        <is>
          <t>[  ] ผ่าน</t>
        </is>
      </c>
      <c r="E16" s="86" t="inlineStr">
        <is>
          <t>[  ] ผ่าน</t>
        </is>
      </c>
      <c r="F16" s="86" t="inlineStr">
        <is>
          <t>[  ] ผ่าน</t>
        </is>
      </c>
      <c r="G16" s="86" t="inlineStr">
        <is>
          <t>-</t>
        </is>
      </c>
    </row>
    <row r="17" ht="22" customHeight="1">
      <c r="A17" s="91" t="inlineStr">
        <is>
          <t>10:30 - 14:30 น.</t>
        </is>
      </c>
      <c r="B17" s="96" t="inlineStr">
        <is>
          <t>งานซักอบผ้าปูที่นอน / ผ้าเช็ดตัว</t>
        </is>
      </c>
      <c r="C17" s="97" t="inlineStr">
        <is>
          <t>อบผ้าเฉพาะช่วงเวลานี้ ห้ามอบช่วงค่ำ</t>
        </is>
      </c>
      <c r="D17" s="91" t="inlineStr">
        <is>
          <t>-</t>
        </is>
      </c>
      <c r="E17" s="91" t="inlineStr">
        <is>
          <t>-</t>
        </is>
      </c>
      <c r="F17" s="91" t="inlineStr">
        <is>
          <t>-</t>
        </is>
      </c>
      <c r="G17" s="91" t="inlineStr">
        <is>
          <t>[  ] ผ่าน</t>
        </is>
      </c>
    </row>
    <row r="18" ht="22" customHeight="1">
      <c r="A18" s="86" t="inlineStr">
        <is>
          <t>11:00 - 12:00 น.</t>
        </is>
      </c>
      <c r="B18" s="98" t="inlineStr">
        <is>
          <t>ช่วงแม่บ้านทำความสะอาดห้องพัก</t>
        </is>
      </c>
      <c r="C18" s="99" t="inlineStr">
        <is>
          <t>ปิดแอร์ขณะทำความสะอาด 100%</t>
        </is>
      </c>
      <c r="D18" s="86" t="inlineStr">
        <is>
          <t>[  ] ปิดแอร์</t>
        </is>
      </c>
      <c r="E18" s="86" t="inlineStr">
        <is>
          <t>[  ] ปิดแอร์</t>
        </is>
      </c>
      <c r="F18" s="86" t="inlineStr">
        <is>
          <t>[  ] ปิดแอร์</t>
        </is>
      </c>
      <c r="G18" s="86" t="inlineStr">
        <is>
          <t>-</t>
        </is>
      </c>
    </row>
    <row r="19" ht="22" customHeight="1">
      <c r="A19" s="91" t="inlineStr">
        <is>
          <t>13:30 - 14:00 น.</t>
        </is>
      </c>
      <c r="B19" s="96" t="inlineStr">
        <is>
          <t>เช็กเวลาแขกถึง &amp; เปิดแอร์เตรียมห้อง</t>
        </is>
      </c>
      <c r="C19" s="97" t="inlineStr">
        <is>
          <t>ตั้ง 25°C + พัดลม (ก่อนแขกถึง 5-15 น.)</t>
        </is>
      </c>
      <c r="D19" s="91" t="inlineStr">
        <is>
          <t>[  ] เรียบร้อย</t>
        </is>
      </c>
      <c r="E19" s="91" t="inlineStr">
        <is>
          <t>[  ] เรียบร้อย</t>
        </is>
      </c>
      <c r="F19" s="91" t="inlineStr">
        <is>
          <t>[  ] เรียบร้อย</t>
        </is>
      </c>
      <c r="G19" s="91" t="inlineStr">
        <is>
          <t>-</t>
        </is>
      </c>
    </row>
    <row r="20" ht="22" customHeight="1">
      <c r="A20" s="86" t="inlineStr">
        <is>
          <t>18:00 - 18:30 น.</t>
        </is>
      </c>
      <c r="B20" s="98" t="inlineStr">
        <is>
          <t>ตรวจเช็กหลังที่ไม่มีแขกเข้าพัก</t>
        </is>
      </c>
      <c r="C20" s="99" t="inlineStr">
        <is>
          <t>ปิดไฟ ปิดเบรกเกอร์แอร์ ดึงปลั๊กต้มน้ำ</t>
        </is>
      </c>
      <c r="D20" s="86" t="inlineStr">
        <is>
          <t>[  ] ปิดครบ</t>
        </is>
      </c>
      <c r="E20" s="86" t="inlineStr">
        <is>
          <t>[  ] ปิดครบ</t>
        </is>
      </c>
      <c r="F20" s="86" t="inlineStr">
        <is>
          <t>[  ] ปิดครบ</t>
        </is>
      </c>
      <c r="G20" s="86" t="inlineStr">
        <is>
          <t>[  ] ปิดครบ</t>
        </is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>สถิติและกราฟการผลิตไฟฟ้าโซล่าเซลล์ รายวัน (Day-by-Day: วันที่ 1 ถึง 30/31)</t>
        </is>
      </c>
    </row>
    <row r="2" ht="18" customHeight="1">
      <c r="A2" s="2" t="inlineStr">
        <is>
          <t>แสดงปริมาณการผลิตไฟฟ้าในแต่ละวัน (วันที่ 1 - 30 เมษายน 2569 - ช่วงแดดจัดพีคสูงสุด) แยกรายหลังและยอดรวม</t>
        </is>
      </c>
    </row>
    <row r="3" ht="10" customHeight="1"/>
    <row r="4" ht="26" customHeight="1">
      <c r="A4" s="36" t="inlineStr">
        <is>
          <t>วันที่ (Day)</t>
        </is>
      </c>
      <c r="B4" s="36" t="inlineStr">
        <is>
          <t>วันในสัปดาห์</t>
        </is>
      </c>
      <c r="C4" s="36" t="inlineStr">
        <is>
          <t>Building 1 (kWh)</t>
        </is>
      </c>
      <c r="D4" s="36" t="inlineStr">
        <is>
          <t>Building 2 (kWh)</t>
        </is>
      </c>
      <c r="E4" s="36" t="inlineStr">
        <is>
          <t>Building 3 (kWh)</t>
        </is>
      </c>
      <c r="F4" s="36" t="inlineStr">
        <is>
          <t>Building 4 (kWh)</t>
        </is>
      </c>
      <c r="G4" s="36" t="inlineStr">
        <is>
          <t>Building 5 (kWh)</t>
        </is>
      </c>
      <c r="H4" s="36" t="inlineStr">
        <is>
          <t>Office (kWh)</t>
        </is>
      </c>
      <c r="I4" s="36" t="inlineStr">
        <is>
          <t>รวมการผลิต (kWh)</t>
        </is>
      </c>
      <c r="J4" s="36" t="inlineStr">
        <is>
          <t>ประหยัดเงิน (THB)</t>
        </is>
      </c>
    </row>
    <row r="5" ht="19" customHeight="1">
      <c r="A5" s="37" t="inlineStr">
        <is>
          <t>ว.01 (2026/04/01)</t>
        </is>
      </c>
      <c r="B5" s="37" t="inlineStr">
        <is>
          <t>พุธ</t>
        </is>
      </c>
      <c r="C5" s="38" t="n">
        <v>32.31</v>
      </c>
      <c r="D5" s="38" t="n">
        <v>18.86</v>
      </c>
      <c r="E5" s="38" t="n">
        <v>16.66</v>
      </c>
      <c r="F5" s="38" t="n">
        <v>0</v>
      </c>
      <c r="G5" s="38" t="n">
        <v>13.9</v>
      </c>
      <c r="H5" s="38" t="n">
        <v>25.26</v>
      </c>
      <c r="I5" s="39">
        <f>SUM(C5:H5)</f>
        <v/>
      </c>
      <c r="J5" s="38">
        <f>SUM(C5:G5)*3.30 + H5*4.8159</f>
        <v/>
      </c>
    </row>
    <row r="6" ht="19" customHeight="1">
      <c r="A6" s="40" t="inlineStr">
        <is>
          <t>ว.02 (2026/04/02)</t>
        </is>
      </c>
      <c r="B6" s="40" t="inlineStr">
        <is>
          <t>พฤหัสบดี</t>
        </is>
      </c>
      <c r="C6" s="41" t="n">
        <v>29.44</v>
      </c>
      <c r="D6" s="41" t="n">
        <v>17.19</v>
      </c>
      <c r="E6" s="41" t="n">
        <v>15.19</v>
      </c>
      <c r="F6" s="41" t="n">
        <v>0</v>
      </c>
      <c r="G6" s="41" t="n">
        <v>12.67</v>
      </c>
      <c r="H6" s="41" t="n">
        <v>23.02</v>
      </c>
      <c r="I6" s="39">
        <f>SUM(C6:H6)</f>
        <v/>
      </c>
      <c r="J6" s="41">
        <f>SUM(C6:G6)*3.30 + H6*4.8159</f>
        <v/>
      </c>
    </row>
    <row r="7" ht="19" customHeight="1">
      <c r="A7" s="37" t="inlineStr">
        <is>
          <t>ว.03 (2026/04/03)</t>
        </is>
      </c>
      <c r="B7" s="37" t="inlineStr">
        <is>
          <t>ศุกร์</t>
        </is>
      </c>
      <c r="C7" s="38" t="n">
        <v>32.99</v>
      </c>
      <c r="D7" s="38" t="n">
        <v>19.26</v>
      </c>
      <c r="E7" s="38" t="n">
        <v>17.01</v>
      </c>
      <c r="F7" s="38" t="n">
        <v>0</v>
      </c>
      <c r="G7" s="38" t="n">
        <v>14.2</v>
      </c>
      <c r="H7" s="38" t="n">
        <v>25.79</v>
      </c>
      <c r="I7" s="39">
        <f>SUM(C7:H7)</f>
        <v/>
      </c>
      <c r="J7" s="38">
        <f>SUM(C7:G7)*3.30 + H7*4.8159</f>
        <v/>
      </c>
    </row>
    <row r="8" ht="19" customHeight="1">
      <c r="A8" s="40" t="inlineStr">
        <is>
          <t>ว.04 (2026/04/04)</t>
        </is>
      </c>
      <c r="B8" s="42" t="inlineStr">
        <is>
          <t>เสาร์</t>
        </is>
      </c>
      <c r="C8" s="41" t="n">
        <v>36.93</v>
      </c>
      <c r="D8" s="41" t="n">
        <v>21.56</v>
      </c>
      <c r="E8" s="41" t="n">
        <v>19.05</v>
      </c>
      <c r="F8" s="41" t="n">
        <v>0</v>
      </c>
      <c r="G8" s="41" t="n">
        <v>15.89</v>
      </c>
      <c r="H8" s="41" t="n">
        <v>28.88</v>
      </c>
      <c r="I8" s="39">
        <f>SUM(C8:H8)</f>
        <v/>
      </c>
      <c r="J8" s="41">
        <f>SUM(C8:G8)*3.30 + H8*4.8159</f>
        <v/>
      </c>
    </row>
    <row r="9" ht="19" customHeight="1">
      <c r="A9" s="37" t="inlineStr">
        <is>
          <t>ว.05 (2026/04/05)</t>
        </is>
      </c>
      <c r="B9" s="43" t="inlineStr">
        <is>
          <t>อาทิตย์</t>
        </is>
      </c>
      <c r="C9" s="38" t="n">
        <v>29.01</v>
      </c>
      <c r="D9" s="38" t="n">
        <v>16.94</v>
      </c>
      <c r="E9" s="38" t="n">
        <v>14.96</v>
      </c>
      <c r="F9" s="38" t="n">
        <v>0</v>
      </c>
      <c r="G9" s="38" t="n">
        <v>12.48</v>
      </c>
      <c r="H9" s="38" t="n">
        <v>22.68</v>
      </c>
      <c r="I9" s="39">
        <f>SUM(C9:H9)</f>
        <v/>
      </c>
      <c r="J9" s="38">
        <f>SUM(C9:G9)*3.30 + H9*4.8159</f>
        <v/>
      </c>
    </row>
    <row r="10" ht="19" customHeight="1">
      <c r="A10" s="40" t="inlineStr">
        <is>
          <t>ว.06 (2026/04/06)</t>
        </is>
      </c>
      <c r="B10" s="40" t="inlineStr">
        <is>
          <t>จันทร์</t>
        </is>
      </c>
      <c r="C10" s="41" t="n">
        <v>29.01</v>
      </c>
      <c r="D10" s="41" t="n">
        <v>16.94</v>
      </c>
      <c r="E10" s="41" t="n">
        <v>14.96</v>
      </c>
      <c r="F10" s="41" t="n">
        <v>0</v>
      </c>
      <c r="G10" s="41" t="n">
        <v>12.48</v>
      </c>
      <c r="H10" s="41" t="n">
        <v>22.68</v>
      </c>
      <c r="I10" s="39">
        <f>SUM(C10:H10)</f>
        <v/>
      </c>
      <c r="J10" s="41">
        <f>SUM(C10:G10)*3.30 + H10*4.8159</f>
        <v/>
      </c>
    </row>
    <row r="11" ht="19" customHeight="1">
      <c r="A11" s="37" t="inlineStr">
        <is>
          <t>ว.07 (2026/04/07)</t>
        </is>
      </c>
      <c r="B11" s="37" t="inlineStr">
        <is>
          <t>อังคาร</t>
        </is>
      </c>
      <c r="C11" s="38" t="n">
        <v>37.19</v>
      </c>
      <c r="D11" s="38" t="n">
        <v>21.71</v>
      </c>
      <c r="E11" s="38" t="n">
        <v>19.18</v>
      </c>
      <c r="F11" s="38" t="n">
        <v>0</v>
      </c>
      <c r="G11" s="38" t="n">
        <v>16</v>
      </c>
      <c r="H11" s="38" t="n">
        <v>29.08</v>
      </c>
      <c r="I11" s="39">
        <f>SUM(C11:H11)</f>
        <v/>
      </c>
      <c r="J11" s="38">
        <f>SUM(C11:G11)*3.30 + H11*4.8159</f>
        <v/>
      </c>
    </row>
    <row r="12" ht="19" customHeight="1">
      <c r="A12" s="40" t="inlineStr">
        <is>
          <t>ว.08 (2026/04/08)</t>
        </is>
      </c>
      <c r="B12" s="40" t="inlineStr">
        <is>
          <t>พุธ</t>
        </is>
      </c>
      <c r="C12" s="41" t="n">
        <v>33.53</v>
      </c>
      <c r="D12" s="41" t="n">
        <v>19.57</v>
      </c>
      <c r="E12" s="41" t="n">
        <v>17.29</v>
      </c>
      <c r="F12" s="41" t="n">
        <v>0</v>
      </c>
      <c r="G12" s="41" t="n">
        <v>14.43</v>
      </c>
      <c r="H12" s="41" t="n">
        <v>26.22</v>
      </c>
      <c r="I12" s="39">
        <f>SUM(C12:H12)</f>
        <v/>
      </c>
      <c r="J12" s="41">
        <f>SUM(C12:G12)*3.30 + H12*4.8159</f>
        <v/>
      </c>
    </row>
    <row r="13" ht="19" customHeight="1">
      <c r="A13" s="37" t="inlineStr">
        <is>
          <t>ว.09 (2026/04/09)</t>
        </is>
      </c>
      <c r="B13" s="37" t="inlineStr">
        <is>
          <t>พฤหัสบดี</t>
        </is>
      </c>
      <c r="C13" s="38" t="n">
        <v>27.95</v>
      </c>
      <c r="D13" s="38" t="n">
        <v>16.32</v>
      </c>
      <c r="E13" s="38" t="n">
        <v>14.42</v>
      </c>
      <c r="F13" s="38" t="n">
        <v>0</v>
      </c>
      <c r="G13" s="38" t="n">
        <v>12.03</v>
      </c>
      <c r="H13" s="38" t="n">
        <v>21.85</v>
      </c>
      <c r="I13" s="39">
        <f>SUM(C13:H13)</f>
        <v/>
      </c>
      <c r="J13" s="38">
        <f>SUM(C13:G13)*3.30 + H13*4.8159</f>
        <v/>
      </c>
    </row>
    <row r="14" ht="19" customHeight="1">
      <c r="A14" s="40" t="inlineStr">
        <is>
          <t>ว.10 (2026/04/10)</t>
        </is>
      </c>
      <c r="B14" s="40" t="inlineStr">
        <is>
          <t>ศุกร์</t>
        </is>
      </c>
      <c r="C14" s="41" t="n">
        <v>32.51</v>
      </c>
      <c r="D14" s="41" t="n">
        <v>18.98</v>
      </c>
      <c r="E14" s="41" t="n">
        <v>16.77</v>
      </c>
      <c r="F14" s="41" t="n">
        <v>0</v>
      </c>
      <c r="G14" s="41" t="n">
        <v>13.99</v>
      </c>
      <c r="H14" s="41" t="n">
        <v>25.42</v>
      </c>
      <c r="I14" s="39">
        <f>SUM(C14:H14)</f>
        <v/>
      </c>
      <c r="J14" s="41">
        <f>SUM(C14:G14)*3.30 + H14*4.8159</f>
        <v/>
      </c>
    </row>
    <row r="15" ht="19" customHeight="1">
      <c r="A15" s="37" t="inlineStr">
        <is>
          <t>ว.11 (2026/04/11)</t>
        </is>
      </c>
      <c r="B15" s="43" t="inlineStr">
        <is>
          <t>เสาร์</t>
        </is>
      </c>
      <c r="C15" s="38" t="n">
        <v>27.98</v>
      </c>
      <c r="D15" s="38" t="n">
        <v>16.33</v>
      </c>
      <c r="E15" s="38" t="n">
        <v>14.43</v>
      </c>
      <c r="F15" s="38" t="n">
        <v>0</v>
      </c>
      <c r="G15" s="38" t="n">
        <v>12.04</v>
      </c>
      <c r="H15" s="38" t="n">
        <v>21.88</v>
      </c>
      <c r="I15" s="39">
        <f>SUM(C15:H15)</f>
        <v/>
      </c>
      <c r="J15" s="38">
        <f>SUM(C15:G15)*3.30 + H15*4.8159</f>
        <v/>
      </c>
    </row>
    <row r="16" ht="19" customHeight="1">
      <c r="A16" s="40" t="inlineStr">
        <is>
          <t>ว.12 (2026/04/12)</t>
        </is>
      </c>
      <c r="B16" s="42" t="inlineStr">
        <is>
          <t>อาทิตย์</t>
        </is>
      </c>
      <c r="C16" s="41" t="n">
        <v>27.96</v>
      </c>
      <c r="D16" s="41" t="n">
        <v>16.33</v>
      </c>
      <c r="E16" s="41" t="n">
        <v>14.42</v>
      </c>
      <c r="F16" s="41" t="n">
        <v>0</v>
      </c>
      <c r="G16" s="41" t="n">
        <v>12.03</v>
      </c>
      <c r="H16" s="41" t="n">
        <v>21.87</v>
      </c>
      <c r="I16" s="39">
        <f>SUM(C16:H16)</f>
        <v/>
      </c>
      <c r="J16" s="41">
        <f>SUM(C16:G16)*3.30 + H16*4.8159</f>
        <v/>
      </c>
    </row>
    <row r="17" ht="19" customHeight="1">
      <c r="A17" s="37" t="inlineStr">
        <is>
          <t>ว.13 (2026/04/13)</t>
        </is>
      </c>
      <c r="B17" s="37" t="inlineStr">
        <is>
          <t>จันทร์</t>
        </is>
      </c>
      <c r="C17" s="38" t="n">
        <v>31.16</v>
      </c>
      <c r="D17" s="38" t="n">
        <v>18.19</v>
      </c>
      <c r="E17" s="38" t="n">
        <v>16.07</v>
      </c>
      <c r="F17" s="38" t="n">
        <v>0</v>
      </c>
      <c r="G17" s="38" t="n">
        <v>13.41</v>
      </c>
      <c r="H17" s="38" t="n">
        <v>24.36</v>
      </c>
      <c r="I17" s="39">
        <f>SUM(C17:H17)</f>
        <v/>
      </c>
      <c r="J17" s="38">
        <f>SUM(C17:G17)*3.30 + H17*4.8159</f>
        <v/>
      </c>
    </row>
    <row r="18" ht="19" customHeight="1">
      <c r="A18" s="40" t="inlineStr">
        <is>
          <t>ว.14 (2026/04/14)</t>
        </is>
      </c>
      <c r="B18" s="40" t="inlineStr">
        <is>
          <t>อังคาร</t>
        </is>
      </c>
      <c r="C18" s="41" t="n">
        <v>21.44</v>
      </c>
      <c r="D18" s="41" t="n">
        <v>12.51</v>
      </c>
      <c r="E18" s="41" t="n">
        <v>11.06</v>
      </c>
      <c r="F18" s="41" t="n">
        <v>0</v>
      </c>
      <c r="G18" s="41" t="n">
        <v>9.23</v>
      </c>
      <c r="H18" s="41" t="n">
        <v>16.76</v>
      </c>
      <c r="I18" s="39">
        <f>SUM(C18:H18)</f>
        <v/>
      </c>
      <c r="J18" s="41">
        <f>SUM(C18:G18)*3.30 + H18*4.8159</f>
        <v/>
      </c>
    </row>
    <row r="19" ht="19" customHeight="1">
      <c r="A19" s="37" t="inlineStr">
        <is>
          <t>ว.15 (2026/04/15)</t>
        </is>
      </c>
      <c r="B19" s="37" t="inlineStr">
        <is>
          <t>พุธ</t>
        </is>
      </c>
      <c r="C19" s="38" t="n">
        <v>22.29</v>
      </c>
      <c r="D19" s="38" t="n">
        <v>13.01</v>
      </c>
      <c r="E19" s="38" t="n">
        <v>11.5</v>
      </c>
      <c r="F19" s="38" t="n">
        <v>0</v>
      </c>
      <c r="G19" s="38" t="n">
        <v>9.59</v>
      </c>
      <c r="H19" s="38" t="n">
        <v>17.43</v>
      </c>
      <c r="I19" s="39">
        <f>SUM(C19:H19)</f>
        <v/>
      </c>
      <c r="J19" s="38">
        <f>SUM(C19:G19)*3.30 + H19*4.8159</f>
        <v/>
      </c>
    </row>
    <row r="20" ht="19" customHeight="1">
      <c r="A20" s="40" t="inlineStr">
        <is>
          <t>ว.16 (2026/04/16)</t>
        </is>
      </c>
      <c r="B20" s="40" t="inlineStr">
        <is>
          <t>พฤหัสบดี</t>
        </is>
      </c>
      <c r="C20" s="41" t="n">
        <v>27.53</v>
      </c>
      <c r="D20" s="41" t="n">
        <v>16.07</v>
      </c>
      <c r="E20" s="41" t="n">
        <v>14.2</v>
      </c>
      <c r="F20" s="41" t="n">
        <v>0</v>
      </c>
      <c r="G20" s="41" t="n">
        <v>11.85</v>
      </c>
      <c r="H20" s="41" t="n">
        <v>21.53</v>
      </c>
      <c r="I20" s="39">
        <f>SUM(C20:H20)</f>
        <v/>
      </c>
      <c r="J20" s="41">
        <f>SUM(C20:G20)*3.30 + H20*4.8159</f>
        <v/>
      </c>
    </row>
    <row r="21" ht="19" customHeight="1">
      <c r="A21" s="37" t="inlineStr">
        <is>
          <t>ว.17 (2026/04/17)</t>
        </is>
      </c>
      <c r="B21" s="37" t="inlineStr">
        <is>
          <t>ศุกร์</t>
        </is>
      </c>
      <c r="C21" s="38" t="n">
        <v>25.5</v>
      </c>
      <c r="D21" s="38" t="n">
        <v>14.89</v>
      </c>
      <c r="E21" s="38" t="n">
        <v>13.15</v>
      </c>
      <c r="F21" s="38" t="n">
        <v>0</v>
      </c>
      <c r="G21" s="38" t="n">
        <v>10.97</v>
      </c>
      <c r="H21" s="38" t="n">
        <v>19.94</v>
      </c>
      <c r="I21" s="39">
        <f>SUM(C21:H21)</f>
        <v/>
      </c>
      <c r="J21" s="38">
        <f>SUM(C21:G21)*3.30 + H21*4.8159</f>
        <v/>
      </c>
    </row>
    <row r="22" ht="19" customHeight="1">
      <c r="A22" s="40" t="inlineStr">
        <is>
          <t>ว.18 (2026/04/18)</t>
        </is>
      </c>
      <c r="B22" s="42" t="inlineStr">
        <is>
          <t>เสาร์</t>
        </is>
      </c>
      <c r="C22" s="41" t="n">
        <v>31.48</v>
      </c>
      <c r="D22" s="41" t="n">
        <v>18.38</v>
      </c>
      <c r="E22" s="41" t="n">
        <v>16.24</v>
      </c>
      <c r="F22" s="41" t="n">
        <v>0</v>
      </c>
      <c r="G22" s="41" t="n">
        <v>13.55</v>
      </c>
      <c r="H22" s="41" t="n">
        <v>24.62</v>
      </c>
      <c r="I22" s="39">
        <f>SUM(C22:H22)</f>
        <v/>
      </c>
      <c r="J22" s="41">
        <f>SUM(C22:G22)*3.30 + H22*4.8159</f>
        <v/>
      </c>
    </row>
    <row r="23" ht="19" customHeight="1">
      <c r="A23" s="37" t="inlineStr">
        <is>
          <t>ว.19 (2026/04/19)</t>
        </is>
      </c>
      <c r="B23" s="43" t="inlineStr">
        <is>
          <t>อาทิตย์</t>
        </is>
      </c>
      <c r="C23" s="38" t="n">
        <v>25.97</v>
      </c>
      <c r="D23" s="38" t="n">
        <v>15.16</v>
      </c>
      <c r="E23" s="38" t="n">
        <v>13.4</v>
      </c>
      <c r="F23" s="38" t="n">
        <v>0</v>
      </c>
      <c r="G23" s="38" t="n">
        <v>11.18</v>
      </c>
      <c r="H23" s="38" t="n">
        <v>20.31</v>
      </c>
      <c r="I23" s="39">
        <f>SUM(C23:H23)</f>
        <v/>
      </c>
      <c r="J23" s="38">
        <f>SUM(C23:G23)*3.30 + H23*4.8159</f>
        <v/>
      </c>
    </row>
    <row r="24" ht="19" customHeight="1">
      <c r="A24" s="40" t="inlineStr">
        <is>
          <t>ว.20 (2026/04/20)</t>
        </is>
      </c>
      <c r="B24" s="40" t="inlineStr">
        <is>
          <t>จันทร์</t>
        </is>
      </c>
      <c r="C24" s="41" t="n">
        <v>23.7</v>
      </c>
      <c r="D24" s="41" t="n">
        <v>13.83</v>
      </c>
      <c r="E24" s="41" t="n">
        <v>12.22</v>
      </c>
      <c r="F24" s="41" t="n">
        <v>0</v>
      </c>
      <c r="G24" s="41" t="n">
        <v>10.2</v>
      </c>
      <c r="H24" s="41" t="n">
        <v>18.53</v>
      </c>
      <c r="I24" s="39">
        <f>SUM(C24:H24)</f>
        <v/>
      </c>
      <c r="J24" s="41">
        <f>SUM(C24:G24)*3.30 + H24*4.8159</f>
        <v/>
      </c>
    </row>
    <row r="25" ht="19" customHeight="1">
      <c r="A25" s="37" t="inlineStr">
        <is>
          <t>ว.21 (2026/04/21)</t>
        </is>
      </c>
      <c r="B25" s="37" t="inlineStr">
        <is>
          <t>อังคาร</t>
        </is>
      </c>
      <c r="C25" s="38" t="n">
        <v>36.67</v>
      </c>
      <c r="D25" s="38" t="n">
        <v>21.41</v>
      </c>
      <c r="E25" s="38" t="n">
        <v>18.92</v>
      </c>
      <c r="F25" s="38" t="n">
        <v>0</v>
      </c>
      <c r="G25" s="38" t="n">
        <v>15.78</v>
      </c>
      <c r="H25" s="38" t="n">
        <v>28.68</v>
      </c>
      <c r="I25" s="39">
        <f>SUM(C25:H25)</f>
        <v/>
      </c>
      <c r="J25" s="38">
        <f>SUM(C25:G25)*3.30 + H25*4.8159</f>
        <v/>
      </c>
    </row>
    <row r="26" ht="19" customHeight="1">
      <c r="A26" s="40" t="inlineStr">
        <is>
          <t>ว.22 (2026/04/22)</t>
        </is>
      </c>
      <c r="B26" s="40" t="inlineStr">
        <is>
          <t>พุธ</t>
        </is>
      </c>
      <c r="C26" s="41" t="n">
        <v>29.05</v>
      </c>
      <c r="D26" s="41" t="n">
        <v>16.96</v>
      </c>
      <c r="E26" s="41" t="n">
        <v>14.98</v>
      </c>
      <c r="F26" s="41" t="n">
        <v>0</v>
      </c>
      <c r="G26" s="41" t="n">
        <v>12.5</v>
      </c>
      <c r="H26" s="41" t="n">
        <v>22.71</v>
      </c>
      <c r="I26" s="39">
        <f>SUM(C26:H26)</f>
        <v/>
      </c>
      <c r="J26" s="41">
        <f>SUM(C26:G26)*3.30 + H26*4.8159</f>
        <v/>
      </c>
    </row>
    <row r="27" ht="19" customHeight="1">
      <c r="A27" s="37" t="inlineStr">
        <is>
          <t>ว.23 (2026/04/23)</t>
        </is>
      </c>
      <c r="B27" s="37" t="inlineStr">
        <is>
          <t>พฤหัสบดี</t>
        </is>
      </c>
      <c r="C27" s="38" t="n">
        <v>30.37</v>
      </c>
      <c r="D27" s="38" t="n">
        <v>17.73</v>
      </c>
      <c r="E27" s="38" t="n">
        <v>15.66</v>
      </c>
      <c r="F27" s="38" t="n">
        <v>0</v>
      </c>
      <c r="G27" s="38" t="n">
        <v>13.07</v>
      </c>
      <c r="H27" s="38" t="n">
        <v>23.75</v>
      </c>
      <c r="I27" s="39">
        <f>SUM(C27:H27)</f>
        <v/>
      </c>
      <c r="J27" s="38">
        <f>SUM(C27:G27)*3.30 + H27*4.8159</f>
        <v/>
      </c>
    </row>
    <row r="28" ht="19" customHeight="1">
      <c r="A28" s="40" t="inlineStr">
        <is>
          <t>ว.24 (2026/04/24)</t>
        </is>
      </c>
      <c r="B28" s="40" t="inlineStr">
        <is>
          <t>ศุกร์</t>
        </is>
      </c>
      <c r="C28" s="41" t="n">
        <v>23.64</v>
      </c>
      <c r="D28" s="41" t="n">
        <v>13.8</v>
      </c>
      <c r="E28" s="41" t="n">
        <v>12.19</v>
      </c>
      <c r="F28" s="41" t="n">
        <v>0</v>
      </c>
      <c r="G28" s="41" t="n">
        <v>10.17</v>
      </c>
      <c r="H28" s="41" t="n">
        <v>18.49</v>
      </c>
      <c r="I28" s="39">
        <f>SUM(C28:H28)</f>
        <v/>
      </c>
      <c r="J28" s="41">
        <f>SUM(C28:G28)*3.30 + H28*4.8159</f>
        <v/>
      </c>
    </row>
    <row r="29" ht="19" customHeight="1">
      <c r="A29" s="37" t="inlineStr">
        <is>
          <t>ว.25 (2026/04/25)</t>
        </is>
      </c>
      <c r="B29" s="43" t="inlineStr">
        <is>
          <t>เสาร์</t>
        </is>
      </c>
      <c r="C29" s="38" t="n">
        <v>27.61</v>
      </c>
      <c r="D29" s="38" t="n">
        <v>16.12</v>
      </c>
      <c r="E29" s="38" t="n">
        <v>14.24</v>
      </c>
      <c r="F29" s="38" t="n">
        <v>0</v>
      </c>
      <c r="G29" s="38" t="n">
        <v>11.88</v>
      </c>
      <c r="H29" s="38" t="n">
        <v>21.59</v>
      </c>
      <c r="I29" s="39">
        <f>SUM(C29:H29)</f>
        <v/>
      </c>
      <c r="J29" s="38">
        <f>SUM(C29:G29)*3.30 + H29*4.8159</f>
        <v/>
      </c>
    </row>
    <row r="30" ht="19" customHeight="1">
      <c r="A30" s="40" t="inlineStr">
        <is>
          <t>ว.26 (2026/04/26)</t>
        </is>
      </c>
      <c r="B30" s="42" t="inlineStr">
        <is>
          <t>อาทิตย์</t>
        </is>
      </c>
      <c r="C30" s="41" t="n">
        <v>30.57</v>
      </c>
      <c r="D30" s="41" t="n">
        <v>17.84</v>
      </c>
      <c r="E30" s="41" t="n">
        <v>15.77</v>
      </c>
      <c r="F30" s="41" t="n">
        <v>0</v>
      </c>
      <c r="G30" s="41" t="n">
        <v>13.15</v>
      </c>
      <c r="H30" s="41" t="n">
        <v>23.9</v>
      </c>
      <c r="I30" s="39">
        <f>SUM(C30:H30)</f>
        <v/>
      </c>
      <c r="J30" s="41">
        <f>SUM(C30:G30)*3.30 + H30*4.8159</f>
        <v/>
      </c>
    </row>
    <row r="31" ht="19" customHeight="1">
      <c r="A31" s="37" t="inlineStr">
        <is>
          <t>ว.27 (2026/04/27)</t>
        </is>
      </c>
      <c r="B31" s="37" t="inlineStr">
        <is>
          <t>จันทร์</t>
        </is>
      </c>
      <c r="C31" s="38" t="n">
        <v>24.87</v>
      </c>
      <c r="D31" s="38" t="n">
        <v>14.52</v>
      </c>
      <c r="E31" s="38" t="n">
        <v>12.83</v>
      </c>
      <c r="F31" s="38" t="n">
        <v>0</v>
      </c>
      <c r="G31" s="38" t="n">
        <v>10.7</v>
      </c>
      <c r="H31" s="38" t="n">
        <v>19.45</v>
      </c>
      <c r="I31" s="39">
        <f>SUM(C31:H31)</f>
        <v/>
      </c>
      <c r="J31" s="38">
        <f>SUM(C31:G31)*3.30 + H31*4.8159</f>
        <v/>
      </c>
    </row>
    <row r="32" ht="19" customHeight="1">
      <c r="A32" s="40" t="inlineStr">
        <is>
          <t>ว.28 (2026/04/28)</t>
        </is>
      </c>
      <c r="B32" s="40" t="inlineStr">
        <is>
          <t>อังคาร</t>
        </is>
      </c>
      <c r="C32" s="41" t="n">
        <v>31.76</v>
      </c>
      <c r="D32" s="41" t="n">
        <v>18.54</v>
      </c>
      <c r="E32" s="41" t="n">
        <v>16.38</v>
      </c>
      <c r="F32" s="41" t="n">
        <v>0</v>
      </c>
      <c r="G32" s="41" t="n">
        <v>13.67</v>
      </c>
      <c r="H32" s="41" t="n">
        <v>24.84</v>
      </c>
      <c r="I32" s="39">
        <f>SUM(C32:H32)</f>
        <v/>
      </c>
      <c r="J32" s="41">
        <f>SUM(C32:G32)*3.30 + H32*4.8159</f>
        <v/>
      </c>
    </row>
    <row r="33" ht="19" customHeight="1">
      <c r="A33" s="37" t="inlineStr">
        <is>
          <t>ว.29 (2026/04/29)</t>
        </is>
      </c>
      <c r="B33" s="37" t="inlineStr">
        <is>
          <t>พุธ</t>
        </is>
      </c>
      <c r="C33" s="38" t="n">
        <v>27.36</v>
      </c>
      <c r="D33" s="38" t="n">
        <v>15.97</v>
      </c>
      <c r="E33" s="38" t="n">
        <v>14.11</v>
      </c>
      <c r="F33" s="38" t="n">
        <v>0</v>
      </c>
      <c r="G33" s="38" t="n">
        <v>11.77</v>
      </c>
      <c r="H33" s="38" t="n">
        <v>21.39</v>
      </c>
      <c r="I33" s="39">
        <f>SUM(C33:H33)</f>
        <v/>
      </c>
      <c r="J33" s="38">
        <f>SUM(C33:G33)*3.30 + H33*4.8159</f>
        <v/>
      </c>
    </row>
    <row r="34" ht="19" customHeight="1">
      <c r="A34" s="40" t="inlineStr">
        <is>
          <t>ว.30 (2026/04/30)</t>
        </is>
      </c>
      <c r="B34" s="40" t="inlineStr">
        <is>
          <t>พฤหัสบดี</t>
        </is>
      </c>
      <c r="C34" s="41" t="n">
        <v>28.75</v>
      </c>
      <c r="D34" s="41" t="n">
        <v>16.78</v>
      </c>
      <c r="E34" s="41" t="n">
        <v>14.83</v>
      </c>
      <c r="F34" s="41" t="n">
        <v>0</v>
      </c>
      <c r="G34" s="41" t="n">
        <v>12.37</v>
      </c>
      <c r="H34" s="41" t="n">
        <v>22.48</v>
      </c>
      <c r="I34" s="39">
        <f>SUM(C34:H34)</f>
        <v/>
      </c>
      <c r="J34" s="41">
        <f>SUM(C34:G34)*3.30 + H34*4.8159</f>
        <v/>
      </c>
    </row>
    <row r="35" ht="22" customHeight="1">
      <c r="A35" s="32" t="inlineStr">
        <is>
          <t>รวมทั้งเดือน เม.ย.</t>
        </is>
      </c>
      <c r="B35" s="33" t="inlineStr">
        <is>
          <t>Total (30 วัน)</t>
        </is>
      </c>
      <c r="C35" s="34">
        <f>SUM(C5:C34)</f>
        <v/>
      </c>
      <c r="D35" s="34">
        <f>SUM(D5:D34)</f>
        <v/>
      </c>
      <c r="E35" s="34">
        <f>SUM(E5:E34)</f>
        <v/>
      </c>
      <c r="F35" s="34">
        <f>SUM(F5:F34)</f>
        <v/>
      </c>
      <c r="G35" s="34">
        <f>SUM(G5:G34)</f>
        <v/>
      </c>
      <c r="H35" s="34">
        <f>SUM(H5:H34)</f>
        <v/>
      </c>
      <c r="I35" s="34">
        <f>SUM(I5:I34)</f>
        <v/>
      </c>
      <c r="J35" s="34">
        <f>SUM(J5:J34)</f>
        <v/>
      </c>
    </row>
    <row r="36" ht="20" customHeight="1">
      <c r="A36" s="44" t="inlineStr">
        <is>
          <t>เฉลี่ยต่อวัน</t>
        </is>
      </c>
      <c r="B36" s="45" t="inlineStr">
        <is>
          <t>Average / วัน</t>
        </is>
      </c>
      <c r="C36" s="46">
        <f>AVERAGE(C5:C34)</f>
        <v/>
      </c>
      <c r="D36" s="46">
        <f>AVERAGE(D5:D34)</f>
        <v/>
      </c>
      <c r="E36" s="46">
        <f>AVERAGE(E5:E34)</f>
        <v/>
      </c>
      <c r="F36" s="46">
        <f>AVERAGE(F5:F34)</f>
        <v/>
      </c>
      <c r="G36" s="46">
        <f>AVERAGE(G5:G34)</f>
        <v/>
      </c>
      <c r="H36" s="46">
        <f>AVERAGE(H5:H34)</f>
        <v/>
      </c>
      <c r="I36" s="46">
        <f>AVERAGE(I5:I34)</f>
        <v/>
      </c>
      <c r="J36" s="46">
        <f>AVERAGE(J5:J34)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</cols>
  <sheetData>
    <row r="1" ht="28" customHeight="1">
      <c r="A1" s="1" t="inlineStr">
        <is>
          <t>สถิติและกราฟเปรียบเทียบการผลิตไฟฟ้ารายเดือน (Monthly Solar Analytics - 9 เดือน)</t>
        </is>
      </c>
    </row>
    <row r="2" ht="18" customHeight="1">
      <c r="A2" s="2" t="inlineStr">
        <is>
          <t>เปรียบเทียบยอดการผลิตไฟฟ้าจากโซล่าเซลล์รายเดือน (kWh) และค่าเฉลี่ยต่อวันของแต่ละเดือน มกราคม – กันยายน 2569</t>
        </is>
      </c>
    </row>
    <row r="3" ht="10" customHeight="1"/>
    <row r="4" ht="24" customHeight="1">
      <c r="A4" s="22" t="inlineStr">
        <is>
          <t>1. ตารางยอดการผลิตไฟฟ้าโซล่าเซลล์รวมรายเดือน (Monthly Solar Generation - kWh)</t>
        </is>
      </c>
    </row>
    <row r="5" ht="25" customHeight="1">
      <c r="A5" s="36" t="inlineStr">
        <is>
          <t>ลำดับ</t>
        </is>
      </c>
      <c r="B5" s="36" t="inlineStr">
        <is>
          <t>ชื่ออาคาร / สถานี</t>
        </is>
      </c>
      <c r="C5" s="36" t="inlineStr">
        <is>
          <t>2026/01</t>
        </is>
      </c>
      <c r="D5" s="36" t="inlineStr">
        <is>
          <t>2026/02</t>
        </is>
      </c>
      <c r="E5" s="36" t="inlineStr">
        <is>
          <t>2026/03</t>
        </is>
      </c>
      <c r="F5" s="36" t="inlineStr">
        <is>
          <t>2026/04</t>
        </is>
      </c>
      <c r="G5" s="36" t="inlineStr">
        <is>
          <t>2026/05</t>
        </is>
      </c>
      <c r="H5" s="36" t="inlineStr">
        <is>
          <t>2026/06</t>
        </is>
      </c>
      <c r="I5" s="36" t="inlineStr">
        <is>
          <t>2026/07</t>
        </is>
      </c>
      <c r="J5" s="36" t="inlineStr">
        <is>
          <t>2026/08</t>
        </is>
      </c>
      <c r="K5" s="36" t="inlineStr">
        <is>
          <t>2026/09</t>
        </is>
      </c>
      <c r="L5" s="36" t="inlineStr">
        <is>
          <t>รวมทั้งหมด (Total)</t>
        </is>
      </c>
    </row>
    <row r="6" ht="19" customHeight="1">
      <c r="A6" s="24" t="n">
        <v>1</v>
      </c>
      <c r="B6" s="25" t="inlineStr">
        <is>
          <t>Building 1 (หลังที่ 1)</t>
        </is>
      </c>
      <c r="C6" s="26" t="n">
        <v>675.8</v>
      </c>
      <c r="D6" s="26" t="n">
        <v>574.4</v>
      </c>
      <c r="E6" s="26" t="n">
        <v>893.1</v>
      </c>
      <c r="F6" s="26" t="n">
        <v>876.5</v>
      </c>
      <c r="G6" s="26" t="n">
        <v>747</v>
      </c>
      <c r="H6" s="26" t="n">
        <v>581.3</v>
      </c>
      <c r="I6" s="26" t="n">
        <v>583.3</v>
      </c>
      <c r="J6" s="26" t="n">
        <v>538.2</v>
      </c>
      <c r="K6" s="26" t="n">
        <v>50.6</v>
      </c>
      <c r="L6" s="26">
        <f>SUM(C6:K6)</f>
        <v/>
      </c>
    </row>
    <row r="7" ht="19" customHeight="1">
      <c r="A7" s="28" t="n">
        <v>2</v>
      </c>
      <c r="B7" s="29" t="inlineStr">
        <is>
          <t>Building 2 (หลังที่ 2)</t>
        </is>
      </c>
      <c r="C7" s="30" t="n">
        <v>797.6</v>
      </c>
      <c r="D7" s="30" t="n">
        <v>641.5</v>
      </c>
      <c r="E7" s="30" t="n">
        <v>410.9</v>
      </c>
      <c r="F7" s="30" t="n">
        <v>511.7</v>
      </c>
      <c r="G7" s="30" t="n">
        <v>437.2</v>
      </c>
      <c r="H7" s="30" t="n">
        <v>275.4</v>
      </c>
      <c r="I7" s="30" t="n">
        <v>237.3</v>
      </c>
      <c r="J7" s="30" t="n">
        <v>212.6</v>
      </c>
      <c r="K7" s="30" t="n">
        <v>18.9</v>
      </c>
      <c r="L7" s="30">
        <f>SUM(C7:K7)</f>
        <v/>
      </c>
    </row>
    <row r="8" ht="19" customHeight="1">
      <c r="A8" s="24" t="n">
        <v>3</v>
      </c>
      <c r="B8" s="25" t="inlineStr">
        <is>
          <t>Building 3 (หลังที่ 3)</t>
        </is>
      </c>
      <c r="C8" s="26" t="n">
        <v>0</v>
      </c>
      <c r="D8" s="26" t="n">
        <v>0</v>
      </c>
      <c r="E8" s="26" t="n">
        <v>131.5</v>
      </c>
      <c r="F8" s="26" t="n">
        <v>452.1</v>
      </c>
      <c r="G8" s="26" t="n">
        <v>514.3</v>
      </c>
      <c r="H8" s="26" t="n">
        <v>497.8</v>
      </c>
      <c r="I8" s="26" t="n">
        <v>404.9</v>
      </c>
      <c r="J8" s="26" t="n">
        <v>395.5</v>
      </c>
      <c r="K8" s="26" t="n">
        <v>23.9</v>
      </c>
      <c r="L8" s="26">
        <f>SUM(C8:K8)</f>
        <v/>
      </c>
    </row>
    <row r="9" ht="19" customHeight="1">
      <c r="A9" s="28" t="n">
        <v>4</v>
      </c>
      <c r="B9" s="29" t="inlineStr">
        <is>
          <t>Building 4 (หลังที่ 4)</t>
        </is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0" t="n">
        <v>52.9</v>
      </c>
      <c r="K9" s="30" t="n">
        <v>21.6</v>
      </c>
      <c r="L9" s="30">
        <f>SUM(C9:K9)</f>
        <v/>
      </c>
    </row>
    <row r="10" ht="19" customHeight="1">
      <c r="A10" s="24" t="n">
        <v>5</v>
      </c>
      <c r="B10" s="25" t="inlineStr">
        <is>
          <t>Building 5 (หลังที่ 5)</t>
        </is>
      </c>
      <c r="C10" s="26" t="n">
        <v>306.8</v>
      </c>
      <c r="D10" s="26" t="n">
        <v>317.3</v>
      </c>
      <c r="E10" s="26" t="n">
        <v>242.4</v>
      </c>
      <c r="F10" s="26" t="n">
        <v>377.2</v>
      </c>
      <c r="G10" s="26" t="n">
        <v>418.8</v>
      </c>
      <c r="H10" s="26" t="n">
        <v>371.8</v>
      </c>
      <c r="I10" s="26" t="n">
        <v>299.3</v>
      </c>
      <c r="J10" s="26" t="n">
        <v>58.3</v>
      </c>
      <c r="K10" s="26" t="n">
        <v>22</v>
      </c>
      <c r="L10" s="26">
        <f>SUM(C10:K10)</f>
        <v/>
      </c>
    </row>
    <row r="11" ht="19" customHeight="1">
      <c r="A11" s="28" t="n">
        <v>6</v>
      </c>
      <c r="B11" s="29" t="inlineStr">
        <is>
          <t>Office (ออฟฟิศ)</t>
        </is>
      </c>
      <c r="C11" s="30" t="n">
        <v>232</v>
      </c>
      <c r="D11" s="30" t="n">
        <v>414.7</v>
      </c>
      <c r="E11" s="30" t="n">
        <v>631.6</v>
      </c>
      <c r="F11" s="30" t="n">
        <v>685.4</v>
      </c>
      <c r="G11" s="30" t="n">
        <v>672.4</v>
      </c>
      <c r="H11" s="30" t="n">
        <v>476.6</v>
      </c>
      <c r="I11" s="30" t="n">
        <v>476.3</v>
      </c>
      <c r="J11" s="30" t="n">
        <v>405.2</v>
      </c>
      <c r="K11" s="30" t="n">
        <v>0</v>
      </c>
      <c r="L11" s="30">
        <f>SUM(C11:K11)</f>
        <v/>
      </c>
    </row>
    <row r="12" ht="22" customHeight="1">
      <c r="A12" s="32" t="inlineStr">
        <is>
          <t>-</t>
        </is>
      </c>
      <c r="B12" s="33" t="inlineStr">
        <is>
          <t>รวมทุกอาคาร (Total Project)</t>
        </is>
      </c>
      <c r="C12" s="34">
        <f>SUM(C6:C11)</f>
        <v/>
      </c>
      <c r="D12" s="34">
        <f>SUM(D6:D11)</f>
        <v/>
      </c>
      <c r="E12" s="34">
        <f>SUM(E6:E11)</f>
        <v/>
      </c>
      <c r="F12" s="34">
        <f>SUM(F6:F11)</f>
        <v/>
      </c>
      <c r="G12" s="34">
        <f>SUM(G6:G11)</f>
        <v/>
      </c>
      <c r="H12" s="34">
        <f>SUM(H6:H11)</f>
        <v/>
      </c>
      <c r="I12" s="34">
        <f>SUM(I6:I11)</f>
        <v/>
      </c>
      <c r="J12" s="34">
        <f>SUM(J6:J11)</f>
        <v/>
      </c>
      <c r="K12" s="34">
        <f>SUM(K6:K11)</f>
        <v/>
      </c>
      <c r="L12" s="34">
        <f>SUM(L6:L11)</f>
        <v/>
      </c>
    </row>
  </sheetData>
  <mergeCells count="3">
    <mergeCell ref="A2:L2"/>
    <mergeCell ref="A1:L1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  <col width="14" customWidth="1" min="7" max="7"/>
    <col width="18" customWidth="1" min="8" max="8"/>
    <col width="30" customWidth="1" min="9" max="9"/>
    <col width="20" customWidth="1" min="10" max="10"/>
  </cols>
  <sheetData>
    <row r="1" ht="28" customHeight="1">
      <c r="A1" s="1" t="inlineStr">
        <is>
          <t>ตารางวิเคราะห์ข้อมูลการเข้าพักและประสิทธิภาพค่าไฟฟ้า (Occupancy &amp; Electricity Cost Analysis)</t>
        </is>
      </c>
    </row>
    <row r="2" ht="18" customHeight="1">
      <c r="A2" s="2" t="inlineStr">
        <is>
          <t>โครงการ: LV Pool Villa Cha-am | ข้อมูลรายเดือน: พฤษภาคม 2569 – สิงหาคม 2569 | เกณฑ์เป้าหมาย: ค่าไฟไม่เกิน 250.00 บาท/คืน-หลัง</t>
        </is>
      </c>
    </row>
    <row r="3" ht="10" customHeight="1"/>
    <row r="4" ht="18" customHeight="1">
      <c r="A4" s="3" t="inlineStr">
        <is>
          <t>💰 ค่าไฟฟ้ารวมตามบิล (4 เดือน)</t>
        </is>
      </c>
      <c r="B4" s="62" t="n"/>
      <c r="C4" s="5" t="inlineStr">
        <is>
          <t>🛏️ คืน-หลังที่เข้าพักรวม</t>
        </is>
      </c>
      <c r="D4" s="62" t="n"/>
      <c r="E4" s="7" t="inlineStr">
        <is>
          <t>📊 ค่าไฟเฉลี่ยรวม/คืน-หลัง</t>
        </is>
      </c>
      <c r="F4" s="62" t="n"/>
      <c r="G4" s="9" t="inlineStr">
        <is>
          <t>🎯 อัตราผ่านเป้าหมาย (&lt;=250 บ.)</t>
        </is>
      </c>
      <c r="H4" s="62" t="n"/>
      <c r="I4" s="5" t="inlineStr">
        <is>
          <t>🌟 เดือนที่คุ้มค่าที่สุด</t>
        </is>
      </c>
      <c r="J4" s="62" t="n"/>
    </row>
    <row r="5" ht="24" customHeight="1">
      <c r="A5" s="12" t="inlineStr">
        <is>
          <t>45,104.84 บาท</t>
        </is>
      </c>
      <c r="B5" s="62" t="n"/>
      <c r="C5" s="13" t="inlineStr">
        <is>
          <t>141 คืน</t>
        </is>
      </c>
      <c r="D5" s="62" t="n"/>
      <c r="E5" s="14" t="inlineStr">
        <is>
          <t>319.89 บาท</t>
        </is>
      </c>
      <c r="F5" s="62" t="n"/>
      <c r="G5" s="15" t="inlineStr">
        <is>
          <t>4 / 12 ครั้ง (33%)</t>
        </is>
      </c>
      <c r="H5" s="62" t="n"/>
      <c r="I5" s="13" t="inlineStr">
        <is>
          <t>พ.ค. 69 (฿168.55)</t>
        </is>
      </c>
      <c r="J5" s="62" t="n"/>
    </row>
    <row r="6" ht="16" customHeight="1">
      <c r="A6" s="17" t="inlineStr">
        <is>
          <t>พ.ค. - ส.ค. 2569</t>
        </is>
      </c>
      <c r="B6" s="62" t="n"/>
      <c r="C6" s="18" t="inlineStr">
        <is>
          <t>เฉลี่ย 35.25 คืน/เดือน</t>
        </is>
      </c>
      <c r="D6" s="62" t="n"/>
      <c r="E6" s="19" t="inlineStr">
        <is>
          <t>เกินเป้าหมาย +69.89 บ./คืน</t>
        </is>
      </c>
      <c r="F6" s="62" t="n"/>
      <c r="G6" s="20" t="inlineStr">
        <is>
          <t>ผ่านเป้า 4 ครั้ง / เกินเป้า 8 ครั้ง</t>
        </is>
      </c>
      <c r="H6" s="62" t="n"/>
      <c r="I6" s="18" t="inlineStr">
        <is>
          <t>เข้าพัก 67 คืน (ผ่านเป้า 100%)</t>
        </is>
      </c>
      <c r="J6" s="62" t="n"/>
    </row>
    <row r="7" ht="12" customHeight="1"/>
    <row r="8" ht="24" customHeight="1">
      <c r="A8" s="22" t="inlineStr">
        <is>
          <t>1. ตารางบันทึกข้อมูลค่าไฟฟ้าและจำนวนคืนที่เข้าพักจริง (Occupancy &amp; Electricity Cost Table)</t>
        </is>
      </c>
    </row>
    <row r="9" ht="28" customHeight="1">
      <c r="A9" s="23" t="inlineStr">
        <is>
          <t>เดือน</t>
        </is>
      </c>
      <c r="B9" s="23" t="inlineStr">
        <is>
          <t>มิเตอร์/หลัง</t>
        </is>
      </c>
      <c r="C9" s="23" t="inlineStr">
        <is>
          <t>ค่าไฟ (บาท)</t>
        </is>
      </c>
      <c r="D9" s="23" t="inlineStr">
        <is>
          <t>คืน-หลังที่เข้าพัก</t>
        </is>
      </c>
      <c r="E9" s="23" t="inlineStr">
        <is>
          <t>ค่าไฟ/คืน-หลัง
(บาท)</t>
        </is>
      </c>
      <c r="F9" s="23" t="inlineStr">
        <is>
          <t>เป้าหมาย
(บาท)</t>
        </is>
      </c>
      <c r="G9" s="23" t="inlineStr">
        <is>
          <t>สถานะ</t>
        </is>
      </c>
      <c r="H9" s="23" t="inlineStr">
        <is>
          <t>ส่วนต่างจากเป้า
(บาท)</t>
        </is>
      </c>
      <c r="I9" s="23" t="inlineStr">
        <is>
          <t>หมายเหตุ</t>
        </is>
      </c>
      <c r="J9" s="23" t="inlineStr">
        <is>
          <t>เป้าหมาย 250</t>
        </is>
      </c>
    </row>
    <row r="10" ht="20" customHeight="1">
      <c r="A10" s="47" t="inlineStr">
        <is>
          <t>พ.ค. 69</t>
        </is>
      </c>
      <c r="B10" s="48" t="inlineStr">
        <is>
          <t>หลัง 1</t>
        </is>
      </c>
      <c r="C10" s="38" t="n">
        <v>2566</v>
      </c>
      <c r="D10" s="49" t="n">
        <v>13</v>
      </c>
      <c r="E10" s="39">
        <f>C10/D10</f>
        <v/>
      </c>
      <c r="F10" s="38" t="n">
        <v>250</v>
      </c>
      <c r="G10" s="50">
        <f>IF(E10&lt;=F10,"ผ่าน","เกิน")</f>
        <v/>
      </c>
      <c r="H10" s="51">
        <f>E10-F10</f>
        <v/>
      </c>
      <c r="I10" s="52" t="inlineStr"/>
      <c r="J10" s="37" t="n">
        <v>250</v>
      </c>
    </row>
    <row r="11" ht="20" customHeight="1">
      <c r="A11" s="53" t="n"/>
      <c r="B11" s="48" t="inlineStr">
        <is>
          <t>หลัง 2-3</t>
        </is>
      </c>
      <c r="C11" s="38" t="n">
        <v>3591</v>
      </c>
      <c r="D11" s="49" t="n">
        <v>26</v>
      </c>
      <c r="E11" s="39">
        <f>C11/D11</f>
        <v/>
      </c>
      <c r="F11" s="38" t="n">
        <v>250</v>
      </c>
      <c r="G11" s="50">
        <f>IF(E11&lt;=F11,"ผ่าน","เกิน")</f>
        <v/>
      </c>
      <c r="H11" s="51">
        <f>E11-F11</f>
        <v/>
      </c>
      <c r="I11" s="52" t="inlineStr"/>
      <c r="J11" s="37" t="n">
        <v>250</v>
      </c>
    </row>
    <row r="12" ht="20" customHeight="1">
      <c r="A12" s="54" t="n"/>
      <c r="B12" s="48" t="inlineStr">
        <is>
          <t>หลัง 4-5</t>
        </is>
      </c>
      <c r="C12" s="38" t="n">
        <v>5136</v>
      </c>
      <c r="D12" s="49" t="n">
        <v>28</v>
      </c>
      <c r="E12" s="39">
        <f>C12/D12</f>
        <v/>
      </c>
      <c r="F12" s="38" t="n">
        <v>250</v>
      </c>
      <c r="G12" s="50">
        <f>IF(E12&lt;=F12,"ผ่าน","เกิน")</f>
        <v/>
      </c>
      <c r="H12" s="51">
        <f>E12-F12</f>
        <v/>
      </c>
      <c r="I12" s="52" t="inlineStr"/>
      <c r="J12" s="37" t="n">
        <v>250</v>
      </c>
    </row>
    <row r="13" ht="20" customHeight="1">
      <c r="A13" s="55" t="inlineStr">
        <is>
          <t>มิ.ย. 69</t>
        </is>
      </c>
      <c r="B13" s="48" t="inlineStr">
        <is>
          <t>หลัง 1</t>
        </is>
      </c>
      <c r="C13" s="38" t="n">
        <v>3217.97</v>
      </c>
      <c r="D13" s="49" t="n">
        <v>6</v>
      </c>
      <c r="E13" s="39">
        <f>C13/D13</f>
        <v/>
      </c>
      <c r="F13" s="38" t="n">
        <v>250</v>
      </c>
      <c r="G13" s="56">
        <f>IF(E13&lt;=F13,"ผ่าน","เกิน")</f>
        <v/>
      </c>
      <c r="H13" s="57">
        <f>E13-F13</f>
        <v/>
      </c>
      <c r="I13" s="52" t="inlineStr"/>
      <c r="J13" s="37" t="n">
        <v>250</v>
      </c>
    </row>
    <row r="14" ht="20" customHeight="1">
      <c r="A14" s="53" t="n"/>
      <c r="B14" s="48" t="inlineStr">
        <is>
          <t>หลัง 2-3</t>
        </is>
      </c>
      <c r="C14" s="38" t="n">
        <v>5544.32</v>
      </c>
      <c r="D14" s="49" t="n">
        <v>9</v>
      </c>
      <c r="E14" s="39">
        <f>C14/D14</f>
        <v/>
      </c>
      <c r="F14" s="38" t="n">
        <v>250</v>
      </c>
      <c r="G14" s="56">
        <f>IF(E14&lt;=F14,"ผ่าน","เกิน")</f>
        <v/>
      </c>
      <c r="H14" s="57">
        <f>E14-F14</f>
        <v/>
      </c>
      <c r="I14" s="52" t="inlineStr"/>
      <c r="J14" s="37" t="n">
        <v>250</v>
      </c>
    </row>
    <row r="15" ht="20" customHeight="1">
      <c r="A15" s="54" t="n"/>
      <c r="B15" s="48" t="inlineStr">
        <is>
          <t>หลัง 4-5</t>
        </is>
      </c>
      <c r="C15" s="38" t="n">
        <v>4894.32</v>
      </c>
      <c r="D15" s="49" t="n">
        <v>11</v>
      </c>
      <c r="E15" s="39">
        <f>C15/D15</f>
        <v/>
      </c>
      <c r="F15" s="38" t="n">
        <v>250</v>
      </c>
      <c r="G15" s="56">
        <f>IF(E15&lt;=F15,"ผ่าน","เกิน")</f>
        <v/>
      </c>
      <c r="H15" s="57">
        <f>E15-F15</f>
        <v/>
      </c>
      <c r="I15" s="52" t="inlineStr"/>
      <c r="J15" s="37" t="n">
        <v>250</v>
      </c>
    </row>
    <row r="16" ht="20" customHeight="1">
      <c r="A16" s="58" t="inlineStr">
        <is>
          <t>ก.ค. 69</t>
        </is>
      </c>
      <c r="B16" s="48" t="inlineStr">
        <is>
          <t>หลัง 1</t>
        </is>
      </c>
      <c r="C16" s="38" t="n">
        <v>2928.58</v>
      </c>
      <c r="D16" s="49" t="n">
        <v>7</v>
      </c>
      <c r="E16" s="39">
        <f>C16/D16</f>
        <v/>
      </c>
      <c r="F16" s="38" t="n">
        <v>250</v>
      </c>
      <c r="G16" s="56">
        <f>IF(E16&lt;=F16,"ผ่าน","เกิน")</f>
        <v/>
      </c>
      <c r="H16" s="57">
        <f>E16-F16</f>
        <v/>
      </c>
      <c r="I16" s="52" t="inlineStr"/>
      <c r="J16" s="37" t="n">
        <v>250</v>
      </c>
    </row>
    <row r="17" ht="20" customHeight="1">
      <c r="A17" s="53" t="n"/>
      <c r="B17" s="48" t="inlineStr">
        <is>
          <t>หลัง 2-3</t>
        </is>
      </c>
      <c r="C17" s="38" t="n">
        <v>3436.11</v>
      </c>
      <c r="D17" s="49" t="n">
        <v>15</v>
      </c>
      <c r="E17" s="39">
        <f>C17/D17</f>
        <v/>
      </c>
      <c r="F17" s="38" t="n">
        <v>250</v>
      </c>
      <c r="G17" s="50">
        <f>IF(E17&lt;=F17,"ผ่าน","เกิน")</f>
        <v/>
      </c>
      <c r="H17" s="51">
        <f>E17-F17</f>
        <v/>
      </c>
      <c r="I17" s="52" t="inlineStr"/>
      <c r="J17" s="37" t="n">
        <v>250</v>
      </c>
    </row>
    <row r="18" ht="20" customHeight="1">
      <c r="A18" s="54" t="n"/>
      <c r="B18" s="48" t="inlineStr">
        <is>
          <t>หลัง 4-5</t>
        </is>
      </c>
      <c r="C18" s="38" t="n">
        <v>2148.95</v>
      </c>
      <c r="D18" s="49" t="n">
        <v>7</v>
      </c>
      <c r="E18" s="39">
        <f>C18/D18</f>
        <v/>
      </c>
      <c r="F18" s="38" t="n">
        <v>250</v>
      </c>
      <c r="G18" s="56">
        <f>IF(E18&lt;=F18,"ผ่าน","เกิน")</f>
        <v/>
      </c>
      <c r="H18" s="57">
        <f>E18-F18</f>
        <v/>
      </c>
      <c r="I18" s="52" t="inlineStr"/>
      <c r="J18" s="37" t="n">
        <v>250</v>
      </c>
    </row>
    <row r="19" ht="20" customHeight="1">
      <c r="A19" s="44" t="inlineStr">
        <is>
          <t>ส.ค. 69</t>
        </is>
      </c>
      <c r="B19" s="48" t="inlineStr">
        <is>
          <t>หลัง 1</t>
        </is>
      </c>
      <c r="C19" s="38" t="n">
        <v>3016.88</v>
      </c>
      <c r="D19" s="49" t="n">
        <v>5</v>
      </c>
      <c r="E19" s="39">
        <f>C19/D19</f>
        <v/>
      </c>
      <c r="F19" s="38" t="n">
        <v>250</v>
      </c>
      <c r="G19" s="56">
        <f>IF(E19&lt;=F19,"ผ่าน","เกิน")</f>
        <v/>
      </c>
      <c r="H19" s="57">
        <f>E19-F19</f>
        <v/>
      </c>
      <c r="I19" s="52" t="inlineStr">
        <is>
          <t>นับคืน-หลังจากปฏิทินเบื้องต้น</t>
        </is>
      </c>
      <c r="J19" s="37" t="n">
        <v>250</v>
      </c>
    </row>
    <row r="20" ht="20" customHeight="1">
      <c r="A20" s="53" t="n"/>
      <c r="B20" s="48" t="inlineStr">
        <is>
          <t>หลัง 2-3</t>
        </is>
      </c>
      <c r="C20" s="38" t="n">
        <v>4084.64</v>
      </c>
      <c r="D20" s="49" t="n">
        <v>8</v>
      </c>
      <c r="E20" s="39">
        <f>C20/D20</f>
        <v/>
      </c>
      <c r="F20" s="38" t="n">
        <v>250</v>
      </c>
      <c r="G20" s="56">
        <f>IF(E20&lt;=F20,"ผ่าน","เกิน")</f>
        <v/>
      </c>
      <c r="H20" s="57">
        <f>E20-F20</f>
        <v/>
      </c>
      <c r="I20" s="52" t="inlineStr">
        <is>
          <t>นับคืน-หลังจากปฏิทินเบื้องต้น</t>
        </is>
      </c>
      <c r="J20" s="37" t="n">
        <v>250</v>
      </c>
    </row>
    <row r="21" ht="20" customHeight="1">
      <c r="A21" s="54" t="n"/>
      <c r="B21" s="48" t="inlineStr">
        <is>
          <t>หลัง 4-5</t>
        </is>
      </c>
      <c r="C21" s="38" t="n">
        <v>4540.07</v>
      </c>
      <c r="D21" s="49" t="n">
        <v>6</v>
      </c>
      <c r="E21" s="39">
        <f>C21/D21</f>
        <v/>
      </c>
      <c r="F21" s="38" t="n">
        <v>250</v>
      </c>
      <c r="G21" s="56">
        <f>IF(E21&lt;=F21,"ผ่าน","เกิน")</f>
        <v/>
      </c>
      <c r="H21" s="57">
        <f>E21-F21</f>
        <v/>
      </c>
      <c r="I21" s="52" t="inlineStr">
        <is>
          <t>นับคืน-หลังจากปฏิทินเบื้องต้น</t>
        </is>
      </c>
      <c r="J21" s="37" t="n">
        <v>250</v>
      </c>
    </row>
    <row r="22" ht="22" customHeight="1">
      <c r="A22" s="33" t="inlineStr">
        <is>
          <t>รวมทั้งหมด (Total 4 เดือน)</t>
        </is>
      </c>
      <c r="B22" s="71" t="n"/>
      <c r="C22" s="34">
        <f>SUM(C10:C21)</f>
        <v/>
      </c>
      <c r="D22" s="60">
        <f>SUM(D10:D21)</f>
        <v/>
      </c>
      <c r="E22" s="34">
        <f>C22/D22</f>
        <v/>
      </c>
      <c r="F22" s="34" t="n">
        <v>250</v>
      </c>
      <c r="G22" s="32">
        <f>IF(E22&lt;=F22,"ผ่าน","เกิน")</f>
        <v/>
      </c>
      <c r="H22" s="61">
        <f>E22-F22</f>
        <v/>
      </c>
      <c r="I22" s="33" t="inlineStr">
        <is>
          <t>สรุปภาพรวม 141 คืน-หลัง</t>
        </is>
      </c>
      <c r="J22" s="32" t="n">
        <v>250</v>
      </c>
    </row>
  </sheetData>
  <mergeCells count="23">
    <mergeCell ref="C6:D6"/>
    <mergeCell ref="I6:J6"/>
    <mergeCell ref="A8:J8"/>
    <mergeCell ref="C5:D5"/>
    <mergeCell ref="E5:F5"/>
    <mergeCell ref="A6:B6"/>
    <mergeCell ref="A13:A15"/>
    <mergeCell ref="C4:D4"/>
    <mergeCell ref="E4:F4"/>
    <mergeCell ref="A10:A12"/>
    <mergeCell ref="A19:A21"/>
    <mergeCell ref="G6:H6"/>
    <mergeCell ref="A1:J1"/>
    <mergeCell ref="E6:F6"/>
    <mergeCell ref="A5:B5"/>
    <mergeCell ref="G5:H5"/>
    <mergeCell ref="I5:J5"/>
    <mergeCell ref="A22:B22"/>
    <mergeCell ref="A4:B4"/>
    <mergeCell ref="G4:H4"/>
    <mergeCell ref="I4:J4"/>
    <mergeCell ref="A16:A18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4" customWidth="1" min="4" max="4"/>
    <col width="20" customWidth="1" min="5" max="5"/>
    <col width="18" customWidth="1" min="6" max="6"/>
    <col width="22" customWidth="1" min="7" max="7"/>
    <col width="46" customWidth="1" min="8" max="8"/>
  </cols>
  <sheetData>
    <row r="1" ht="28" customHeight="1">
      <c r="A1" s="63" t="inlineStr">
        <is>
          <t>รายงานสรุปผลการประเมินความคุ้มค่าการใช้ไฟฟ้าและโซล่าเซลล์ (Executive Report for CEO)</t>
        </is>
      </c>
    </row>
    <row r="2" ht="18" customHeight="1">
      <c r="A2" s="2" t="inlineStr">
        <is>
          <t>สรุปสถิติ 9 เดือน: หน่วยผลิตที่ประหยัดได้, ราคาค่าไฟต่อหน่วย (฿/kWh), ระดับความคุ้มค่า และแนวทางประหยัดเพิ่ม</t>
        </is>
      </c>
    </row>
    <row r="3" ht="10" customHeight="1"/>
    <row r="4" ht="28" customHeight="1">
      <c r="A4" s="23" t="inlineStr">
        <is>
          <t>อาคาร / มิเตอร์</t>
        </is>
      </c>
      <c r="B4" s="23" t="inlineStr">
        <is>
          <t>ยอดผลิตโซล่าร์
(ประหยัดกี่หน่วย)</t>
        </is>
      </c>
      <c r="C4" s="23" t="inlineStr">
        <is>
          <t>ค่าไฟเฉลี่ย
(หน่วยละกี่บาท)</t>
        </is>
      </c>
      <c r="D4" s="23" t="inlineStr">
        <is>
          <t>มูลค่าเงินประหยัดรวม
(บาท)</t>
        </is>
      </c>
      <c r="E4" s="23" t="inlineStr">
        <is>
          <t>ยอดใช้ไฟฟ้ารวม
(หน่วย)</t>
        </is>
      </c>
      <c r="F4" s="23" t="inlineStr">
        <is>
          <t>% โซล่าร์ช่วย
(Coverage %)</t>
        </is>
      </c>
      <c r="G4" s="23" t="inlineStr">
        <is>
          <t>ระดับความคุ้มค่า
(Rating)</t>
        </is>
      </c>
      <c r="H4" s="23" t="inlineStr">
        <is>
          <t>บทวิเคราะห์ &amp; วิธีประหยัดเพิ่ม</t>
        </is>
      </c>
    </row>
    <row r="5" ht="48" customHeight="1">
      <c r="A5" s="100" t="inlineStr">
        <is>
          <t>Building 1 (หลัง 1)</t>
        </is>
      </c>
      <c r="B5" s="101" t="inlineStr">
        <is>
          <t>5,480.20 หน่วย</t>
        </is>
      </c>
      <c r="C5" s="101" t="inlineStr">
        <is>
          <t>฿4.44 / หน่วย</t>
        </is>
      </c>
      <c r="D5" s="102" t="inlineStr">
        <is>
          <t>฿24,332.09</t>
        </is>
      </c>
      <c r="E5" s="101" t="inlineStr">
        <is>
          <t>16,368.10 หน่วย</t>
        </is>
      </c>
      <c r="F5" s="101" t="inlineStr">
        <is>
          <t>33.48%</t>
        </is>
      </c>
      <c r="G5" s="100" t="inlineStr">
        <is>
          <t>⭐ คุ้มค่าระดับ A+</t>
        </is>
      </c>
      <c r="H5" s="93" t="inlineStr">
        <is>
          <t>ผลิตได้สูงอันดับ 1 ของโครงการ แต่ช่วงหน้าร้อนแอร์ทำงานหนัก แนะนำล้างฟิลเตอร์แอร์ทุก 2 สัปดาห์ และ Pre-cool ช่วง 13:00-15:00 น.</t>
        </is>
      </c>
    </row>
    <row r="6" ht="48" customHeight="1">
      <c r="A6" s="103" t="inlineStr">
        <is>
          <t>Building 2 (หลัง 2)</t>
        </is>
      </c>
      <c r="B6" s="104" t="inlineStr">
        <is>
          <t>3,732.10 หน่วย</t>
        </is>
      </c>
      <c r="C6" s="104" t="inlineStr">
        <is>
          <t>฿4.12 / หน่วย</t>
        </is>
      </c>
      <c r="D6" s="105" t="inlineStr">
        <is>
          <t>฿15,376.25</t>
        </is>
      </c>
      <c r="E6" s="104" t="inlineStr">
        <is>
          <t>9,346.30 หน่วย</t>
        </is>
      </c>
      <c r="F6" s="104" t="inlineStr">
        <is>
          <t>39.93%</t>
        </is>
      </c>
      <c r="G6" s="103" t="inlineStr">
        <is>
          <t>⭐ คุ้มค่าระดับ A+</t>
        </is>
      </c>
      <c r="H6" s="88" t="inlineStr">
        <is>
          <t>โซล่าร์ช่วยจ่ายไฟถึง 40% ผลิตได้ดีสม่ำเสมอ แนะนำใช้เป็นบ้าน Priority 1 ในการเปิดรับจองแขก</t>
        </is>
      </c>
    </row>
    <row r="7" ht="48" customHeight="1">
      <c r="A7" s="100" t="inlineStr">
        <is>
          <t>Building 3 (หลัง 3)</t>
        </is>
      </c>
      <c r="B7" s="101" t="inlineStr">
        <is>
          <t>2,421.00 หน่วย</t>
        </is>
      </c>
      <c r="C7" s="101" t="inlineStr">
        <is>
          <t>฿4.12 / หน่วย</t>
        </is>
      </c>
      <c r="D7" s="102" t="inlineStr">
        <is>
          <t>฿9,974.52</t>
        </is>
      </c>
      <c r="E7" s="101" t="inlineStr">
        <is>
          <t>6,108.00 หน่วย</t>
        </is>
      </c>
      <c r="F7" s="101" t="inlineStr">
        <is>
          <t>39.64%</t>
        </is>
      </c>
      <c r="G7" s="100" t="inlineStr">
        <is>
          <t>⭐ คุ้มค่าระดับ A</t>
        </is>
      </c>
      <c r="H7" s="93" t="inlineStr">
        <is>
          <t>แชร์มิเตอร์กับหลัง 2 ช่วยเกลี่ยโหลดได้ดีมาก ปั๊มสปาควรตั้งตัด Auto 15-30 นาที</t>
        </is>
      </c>
    </row>
    <row r="8" ht="48" customHeight="1">
      <c r="A8" s="103" t="inlineStr">
        <is>
          <t>Building 4 (หลัง 4)</t>
        </is>
      </c>
      <c r="B8" s="104" t="inlineStr">
        <is>
          <t>74.50 หน่วย</t>
        </is>
      </c>
      <c r="C8" s="104" t="inlineStr">
        <is>
          <t>฿4.17 / หน่วย</t>
        </is>
      </c>
      <c r="D8" s="105" t="inlineStr">
        <is>
          <t>฿310.67</t>
        </is>
      </c>
      <c r="E8" s="104" t="inlineStr">
        <is>
          <t>187.40 หน่วย</t>
        </is>
      </c>
      <c r="F8" s="104" t="inlineStr">
        <is>
          <t>39.75%</t>
        </is>
      </c>
      <c r="G8" s="103" t="inlineStr">
        <is>
          <t>🟡 กำลังเริ่มใช้งาน</t>
        </is>
      </c>
      <c r="H8" s="88" t="inlineStr">
        <is>
          <t>เพิ่งเริ่มเปิดระบบเดือน ส.ค. กำลังผลิตทำงานได้ดีตามขนาดแผง ควรคุมเวลาเปิดแอร์</t>
        </is>
      </c>
    </row>
    <row r="9" ht="48" customHeight="1">
      <c r="A9" s="100" t="inlineStr">
        <is>
          <t>Building 5 (หลัง 5)</t>
        </is>
      </c>
      <c r="B9" s="101" t="inlineStr">
        <is>
          <t>2,414.90 หน่วย</t>
        </is>
      </c>
      <c r="C9" s="101" t="inlineStr">
        <is>
          <t>฿4.17 / หน่วย</t>
        </is>
      </c>
      <c r="D9" s="102" t="inlineStr">
        <is>
          <t>฿10,070.13</t>
        </is>
      </c>
      <c r="E9" s="101" t="inlineStr">
        <is>
          <t>7,192.30 หน่วย</t>
        </is>
      </c>
      <c r="F9" s="101" t="inlineStr">
        <is>
          <t>33.58%</t>
        </is>
      </c>
      <c r="G9" s="100" t="inlineStr">
        <is>
          <t>⭐ คุ้มค่าระดับ A</t>
        </is>
      </c>
      <c r="H9" s="93" t="inlineStr">
        <is>
          <t>แชร์มิเตอร์กับหลัง 4 ช่วงหน้าร้อนโหลดพุ่ง แนะนำดึงงานปั๊มกรองสระมาเปิดช่วง 10:00-15:00 น. 100%</t>
        </is>
      </c>
    </row>
    <row r="10" ht="48" customHeight="1">
      <c r="A10" s="103" t="inlineStr">
        <is>
          <t>Office (ออฟฟิศ ชะอำ)</t>
        </is>
      </c>
      <c r="B10" s="104" t="inlineStr">
        <is>
          <t>3,843.20 หน่วย</t>
        </is>
      </c>
      <c r="C10" s="104" t="inlineStr">
        <is>
          <t>฿4.67 / หน่วย</t>
        </is>
      </c>
      <c r="D10" s="105" t="inlineStr">
        <is>
          <t>฿17,947.74</t>
        </is>
      </c>
      <c r="E10" s="104" t="inlineStr">
        <is>
          <t>3,843.20 หน่วย</t>
        </is>
      </c>
      <c r="F10" s="104" t="inlineStr">
        <is>
          <t>100.00%</t>
        </is>
      </c>
      <c r="G10" s="103" t="inlineStr">
        <is>
          <t>🏆 คุ้มค่าสูงสุด (Top ROI)</t>
        </is>
      </c>
      <c r="H10" s="88" t="inlineStr">
        <is>
          <t>ใช้ไฟกลางวันตรงกับช่วงแดดจัด ค่าไฟต่อหน่วยแพงสุด (ประเภท 1125) โซล่าร์ช่วยตัดภาระค่าไฟได้คุ้มค่าต่อหน่วยสูงสุด!</t>
        </is>
      </c>
    </row>
    <row r="11" ht="28" customHeight="1">
      <c r="A11" s="106" t="inlineStr">
        <is>
          <t>⚡ รวมทั้งโครงการ (9 เดือน)</t>
        </is>
      </c>
      <c r="B11" s="107" t="inlineStr">
        <is>
          <t>17,965.90 หน่วย</t>
        </is>
      </c>
      <c r="C11" s="107" t="inlineStr">
        <is>
          <t>฿4.36 / หน่วย (เฉลี่ย)</t>
        </is>
      </c>
      <c r="D11" s="107" t="inlineStr">
        <is>
          <t>฿78,011.40</t>
        </is>
      </c>
      <c r="E11" s="107" t="inlineStr">
        <is>
          <t>41,630.30 หน่วย</t>
        </is>
      </c>
      <c r="F11" s="107" t="inlineStr">
        <is>
          <t>43.16% 🎯</t>
        </is>
      </c>
      <c r="G11" s="106" t="inlineStr">
        <is>
          <t>🏆 คุ้มค่ามากระดับ A+</t>
        </is>
      </c>
      <c r="H11" s="108" t="inlineStr">
        <is>
          <t>โซล่าเซลล์จ่ายไฟฟรีแทน กฟภ. เกือบครึ่งหนึ่งของทั้งโครงการ!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2" customWidth="1" min="4" max="4"/>
    <col width="22" customWidth="1" min="5" max="5"/>
    <col width="24" customWidth="1" min="6" max="6"/>
    <col width="24" customWidth="1" min="7" max="7"/>
    <col width="20" customWidth="1" min="8" max="8"/>
    <col width="30" customWidth="1" min="9" max="9"/>
  </cols>
  <sheetData>
    <row r="1" ht="28" customHeight="1">
      <c r="A1" s="63" t="inlineStr">
        <is>
          <t>แบบฟอร์มลงบันทึกการใช้ไฟฟ้าและตรวจสอบมาตรการประหยัดพลังงาน ประจำวัน (สาขาพัทยา)</t>
        </is>
      </c>
    </row>
    <row r="2" ht="18" customHeight="1">
      <c r="A2" s="2" t="inlineStr">
        <is>
          <t>สำหรับพนักงานสาขาพัทยาลงบันทึกทุกวัน เวลา 09:30 น. และ 18:30 น. เพื่อรวบรวมข้อมูลส่งส่วนกลาง</t>
        </is>
      </c>
    </row>
    <row r="3" ht="10" customHeight="1"/>
    <row r="4" ht="30" customHeight="1">
      <c r="A4" s="109" t="inlineStr">
        <is>
          <t>วันที่</t>
        </is>
      </c>
      <c r="B4" s="109" t="inlineStr">
        <is>
          <t>ผู้บันทึก</t>
        </is>
      </c>
      <c r="C4" s="109" t="inlineStr">
        <is>
          <t>สถานะ Inverter
(09:30 น.)</t>
        </is>
      </c>
      <c r="D4" s="109" t="inlineStr">
        <is>
          <t>เวลาเดินปั๊มสระ
(10:00-15:00 น.)</t>
        </is>
      </c>
      <c r="E4" s="109" t="inlineStr">
        <is>
          <t>เวลาซัก-อบผ้า
(10:30-14:30 น.)</t>
        </is>
      </c>
      <c r="F4" s="109" t="inlineStr">
        <is>
          <t>ปิดแอร์ตอนทำความสะอาด
(11:00-12:00 น.)</t>
        </is>
      </c>
      <c r="G4" s="109" t="inlineStr">
        <is>
          <t>เปิดแอร์เตรียมห้อง 25°C
(ก่อนแขกถึง 5-15 น.)</t>
        </is>
      </c>
      <c r="H4" s="109" t="inlineStr">
        <is>
          <t>ตรวจปิดไฟหลังว่าง
(18:30 น.)</t>
        </is>
      </c>
      <c r="I4" s="109" t="inlineStr">
        <is>
          <t>หมายเหตุ / ปัญหาที่พบ</t>
        </is>
      </c>
    </row>
    <row r="5" ht="22" customHeight="1">
      <c r="A5" s="86" t="inlineStr">
        <is>
          <t>2026-09-01</t>
        </is>
      </c>
      <c r="B5" s="86" t="inlineStr"/>
      <c r="C5" s="86" t="inlineStr">
        <is>
          <t>[  ] ปกติ</t>
        </is>
      </c>
      <c r="D5" s="86" t="inlineStr">
        <is>
          <t>[  ] 10:00-15:00</t>
        </is>
      </c>
      <c r="E5" s="86" t="inlineStr">
        <is>
          <t>[  ] เรียบร้อย</t>
        </is>
      </c>
      <c r="F5" s="86" t="inlineStr">
        <is>
          <t>[  ] ปิดครบ</t>
        </is>
      </c>
      <c r="G5" s="86" t="inlineStr">
        <is>
          <t>[  ] ตั้ง 25°C</t>
        </is>
      </c>
      <c r="H5" s="86" t="inlineStr">
        <is>
          <t>[  ] ตรวจแล้ว</t>
        </is>
      </c>
      <c r="I5" s="99" t="inlineStr"/>
    </row>
    <row r="6" ht="22" customHeight="1">
      <c r="A6" s="86" t="inlineStr">
        <is>
          <t>2026-09-02</t>
        </is>
      </c>
      <c r="B6" s="86" t="inlineStr"/>
      <c r="C6" s="86" t="inlineStr">
        <is>
          <t>[  ] ปกติ</t>
        </is>
      </c>
      <c r="D6" s="86" t="inlineStr">
        <is>
          <t>[  ] 10:00-15:00</t>
        </is>
      </c>
      <c r="E6" s="86" t="inlineStr">
        <is>
          <t>[  ] เรียบร้อย</t>
        </is>
      </c>
      <c r="F6" s="86" t="inlineStr">
        <is>
          <t>[  ] ปิดครบ</t>
        </is>
      </c>
      <c r="G6" s="86" t="inlineStr">
        <is>
          <t>[  ] ตั้ง 25°C</t>
        </is>
      </c>
      <c r="H6" s="86" t="inlineStr">
        <is>
          <t>[  ] ตรวจแล้ว</t>
        </is>
      </c>
      <c r="I6" s="99" t="inlineStr"/>
    </row>
    <row r="7" ht="22" customHeight="1">
      <c r="A7" s="86" t="inlineStr">
        <is>
          <t>2026-09-03</t>
        </is>
      </c>
      <c r="B7" s="86" t="inlineStr"/>
      <c r="C7" s="86" t="inlineStr">
        <is>
          <t>[  ] ปกติ</t>
        </is>
      </c>
      <c r="D7" s="86" t="inlineStr">
        <is>
          <t>[  ] 10:00-15:00</t>
        </is>
      </c>
      <c r="E7" s="86" t="inlineStr">
        <is>
          <t>[  ] เรียบร้อย</t>
        </is>
      </c>
      <c r="F7" s="86" t="inlineStr">
        <is>
          <t>[  ] ปิดครบ</t>
        </is>
      </c>
      <c r="G7" s="86" t="inlineStr">
        <is>
          <t>[  ] ตั้ง 25°C</t>
        </is>
      </c>
      <c r="H7" s="86" t="inlineStr">
        <is>
          <t>[  ] ตรวจแล้ว</t>
        </is>
      </c>
      <c r="I7" s="99" t="inlineStr"/>
    </row>
    <row r="8" ht="22" customHeight="1">
      <c r="A8" s="86" t="inlineStr">
        <is>
          <t>2026-09-04</t>
        </is>
      </c>
      <c r="B8" s="86" t="inlineStr"/>
      <c r="C8" s="86" t="inlineStr">
        <is>
          <t>[  ] ปกติ</t>
        </is>
      </c>
      <c r="D8" s="86" t="inlineStr">
        <is>
          <t>[  ] 10:00-15:00</t>
        </is>
      </c>
      <c r="E8" s="86" t="inlineStr">
        <is>
          <t>[  ] เรียบร้อย</t>
        </is>
      </c>
      <c r="F8" s="86" t="inlineStr">
        <is>
          <t>[  ] ปิดครบ</t>
        </is>
      </c>
      <c r="G8" s="86" t="inlineStr">
        <is>
          <t>[  ] ตั้ง 25°C</t>
        </is>
      </c>
      <c r="H8" s="86" t="inlineStr">
        <is>
          <t>[  ] ตรวจแล้ว</t>
        </is>
      </c>
      <c r="I8" s="99" t="inlineStr"/>
    </row>
    <row r="9" ht="22" customHeight="1">
      <c r="A9" s="86" t="inlineStr">
        <is>
          <t>2026-09-05</t>
        </is>
      </c>
      <c r="B9" s="86" t="inlineStr"/>
      <c r="C9" s="86" t="inlineStr">
        <is>
          <t>[  ] ปกติ</t>
        </is>
      </c>
      <c r="D9" s="86" t="inlineStr">
        <is>
          <t>[  ] 10:00-15:00</t>
        </is>
      </c>
      <c r="E9" s="86" t="inlineStr">
        <is>
          <t>[  ] เรียบร้อย</t>
        </is>
      </c>
      <c r="F9" s="86" t="inlineStr">
        <is>
          <t>[  ] ปิดครบ</t>
        </is>
      </c>
      <c r="G9" s="86" t="inlineStr">
        <is>
          <t>[  ] ตั้ง 25°C</t>
        </is>
      </c>
      <c r="H9" s="86" t="inlineStr">
        <is>
          <t>[  ] ตรวจแล้ว</t>
        </is>
      </c>
      <c r="I9" s="99" t="inlineStr"/>
    </row>
    <row r="10" ht="22" customHeight="1">
      <c r="A10" s="86" t="inlineStr">
        <is>
          <t>2026-09-06</t>
        </is>
      </c>
      <c r="B10" s="86" t="inlineStr"/>
      <c r="C10" s="86" t="inlineStr">
        <is>
          <t>[  ] ปกติ</t>
        </is>
      </c>
      <c r="D10" s="86" t="inlineStr">
        <is>
          <t>[  ] 10:00-15:00</t>
        </is>
      </c>
      <c r="E10" s="86" t="inlineStr">
        <is>
          <t>[  ] เรียบร้อย</t>
        </is>
      </c>
      <c r="F10" s="86" t="inlineStr">
        <is>
          <t>[  ] ปิดครบ</t>
        </is>
      </c>
      <c r="G10" s="86" t="inlineStr">
        <is>
          <t>[  ] ตั้ง 25°C</t>
        </is>
      </c>
      <c r="H10" s="86" t="inlineStr">
        <is>
          <t>[  ] ตรวจแล้ว</t>
        </is>
      </c>
      <c r="I10" s="99" t="inlineStr"/>
    </row>
    <row r="11" ht="22" customHeight="1">
      <c r="A11" s="86" t="inlineStr">
        <is>
          <t>2026-09-07</t>
        </is>
      </c>
      <c r="B11" s="86" t="inlineStr"/>
      <c r="C11" s="86" t="inlineStr">
        <is>
          <t>[  ] ปกติ</t>
        </is>
      </c>
      <c r="D11" s="86" t="inlineStr">
        <is>
          <t>[  ] 10:00-15:00</t>
        </is>
      </c>
      <c r="E11" s="86" t="inlineStr">
        <is>
          <t>[  ] เรียบร้อย</t>
        </is>
      </c>
      <c r="F11" s="86" t="inlineStr">
        <is>
          <t>[  ] ปิดครบ</t>
        </is>
      </c>
      <c r="G11" s="86" t="inlineStr">
        <is>
          <t>[  ] ตั้ง 25°C</t>
        </is>
      </c>
      <c r="H11" s="86" t="inlineStr">
        <is>
          <t>[  ] ตรวจแล้ว</t>
        </is>
      </c>
      <c r="I11" s="99" t="inlineStr"/>
    </row>
    <row r="12" ht="22" customHeight="1">
      <c r="A12" s="86" t="inlineStr">
        <is>
          <t>2026-09-08</t>
        </is>
      </c>
      <c r="B12" s="86" t="inlineStr"/>
      <c r="C12" s="86" t="inlineStr">
        <is>
          <t>[  ] ปกติ</t>
        </is>
      </c>
      <c r="D12" s="86" t="inlineStr">
        <is>
          <t>[  ] 10:00-15:00</t>
        </is>
      </c>
      <c r="E12" s="86" t="inlineStr">
        <is>
          <t>[  ] เรียบร้อย</t>
        </is>
      </c>
      <c r="F12" s="86" t="inlineStr">
        <is>
          <t>[  ] ปิดครบ</t>
        </is>
      </c>
      <c r="G12" s="86" t="inlineStr">
        <is>
          <t>[  ] ตั้ง 25°C</t>
        </is>
      </c>
      <c r="H12" s="86" t="inlineStr">
        <is>
          <t>[  ] ตรวจแล้ว</t>
        </is>
      </c>
      <c r="I12" s="99" t="inlineStr"/>
    </row>
    <row r="13" ht="22" customHeight="1">
      <c r="A13" s="86" t="inlineStr">
        <is>
          <t>2026-09-09</t>
        </is>
      </c>
      <c r="B13" s="86" t="inlineStr"/>
      <c r="C13" s="86" t="inlineStr">
        <is>
          <t>[  ] ปกติ</t>
        </is>
      </c>
      <c r="D13" s="86" t="inlineStr">
        <is>
          <t>[  ] 10:00-15:00</t>
        </is>
      </c>
      <c r="E13" s="86" t="inlineStr">
        <is>
          <t>[  ] เรียบร้อย</t>
        </is>
      </c>
      <c r="F13" s="86" t="inlineStr">
        <is>
          <t>[  ] ปิดครบ</t>
        </is>
      </c>
      <c r="G13" s="86" t="inlineStr">
        <is>
          <t>[  ] ตั้ง 25°C</t>
        </is>
      </c>
      <c r="H13" s="86" t="inlineStr">
        <is>
          <t>[  ] ตรวจแล้ว</t>
        </is>
      </c>
      <c r="I13" s="99" t="inlineStr"/>
    </row>
    <row r="14" ht="22" customHeight="1">
      <c r="A14" s="86" t="inlineStr">
        <is>
          <t>2026-09-10</t>
        </is>
      </c>
      <c r="B14" s="86" t="inlineStr"/>
      <c r="C14" s="86" t="inlineStr">
        <is>
          <t>[  ] ปกติ</t>
        </is>
      </c>
      <c r="D14" s="86" t="inlineStr">
        <is>
          <t>[  ] 10:00-15:00</t>
        </is>
      </c>
      <c r="E14" s="86" t="inlineStr">
        <is>
          <t>[  ] เรียบร้อย</t>
        </is>
      </c>
      <c r="F14" s="86" t="inlineStr">
        <is>
          <t>[  ] ปิดครบ</t>
        </is>
      </c>
      <c r="G14" s="86" t="inlineStr">
        <is>
          <t>[  ] ตั้ง 25°C</t>
        </is>
      </c>
      <c r="H14" s="86" t="inlineStr">
        <is>
          <t>[  ] ตรวจแล้ว</t>
        </is>
      </c>
      <c r="I14" s="99" t="inlineStr"/>
    </row>
    <row r="15" ht="22" customHeight="1">
      <c r="A15" s="86" t="inlineStr">
        <is>
          <t>2026-09-11</t>
        </is>
      </c>
      <c r="B15" s="86" t="inlineStr"/>
      <c r="C15" s="86" t="inlineStr">
        <is>
          <t>[  ] ปกติ</t>
        </is>
      </c>
      <c r="D15" s="86" t="inlineStr">
        <is>
          <t>[  ] 10:00-15:00</t>
        </is>
      </c>
      <c r="E15" s="86" t="inlineStr">
        <is>
          <t>[  ] เรียบร้อย</t>
        </is>
      </c>
      <c r="F15" s="86" t="inlineStr">
        <is>
          <t>[  ] ปิดครบ</t>
        </is>
      </c>
      <c r="G15" s="86" t="inlineStr">
        <is>
          <t>[  ] ตั้ง 25°C</t>
        </is>
      </c>
      <c r="H15" s="86" t="inlineStr">
        <is>
          <t>[  ] ตรวจแล้ว</t>
        </is>
      </c>
      <c r="I15" s="99" t="inlineStr"/>
    </row>
    <row r="16" ht="22" customHeight="1">
      <c r="A16" s="86" t="inlineStr">
        <is>
          <t>2026-09-12</t>
        </is>
      </c>
      <c r="B16" s="86" t="inlineStr"/>
      <c r="C16" s="86" t="inlineStr">
        <is>
          <t>[  ] ปกติ</t>
        </is>
      </c>
      <c r="D16" s="86" t="inlineStr">
        <is>
          <t>[  ] 10:00-15:00</t>
        </is>
      </c>
      <c r="E16" s="86" t="inlineStr">
        <is>
          <t>[  ] เรียบร้อย</t>
        </is>
      </c>
      <c r="F16" s="86" t="inlineStr">
        <is>
          <t>[  ] ปิดครบ</t>
        </is>
      </c>
      <c r="G16" s="86" t="inlineStr">
        <is>
          <t>[  ] ตั้ง 25°C</t>
        </is>
      </c>
      <c r="H16" s="86" t="inlineStr">
        <is>
          <t>[  ] ตรวจแล้ว</t>
        </is>
      </c>
      <c r="I16" s="99" t="inlineStr"/>
    </row>
    <row r="17" ht="22" customHeight="1">
      <c r="A17" s="86" t="inlineStr">
        <is>
          <t>2026-09-13</t>
        </is>
      </c>
      <c r="B17" s="86" t="inlineStr"/>
      <c r="C17" s="86" t="inlineStr">
        <is>
          <t>[  ] ปกติ</t>
        </is>
      </c>
      <c r="D17" s="86" t="inlineStr">
        <is>
          <t>[  ] 10:00-15:00</t>
        </is>
      </c>
      <c r="E17" s="86" t="inlineStr">
        <is>
          <t>[  ] เรียบร้อย</t>
        </is>
      </c>
      <c r="F17" s="86" t="inlineStr">
        <is>
          <t>[  ] ปิดครบ</t>
        </is>
      </c>
      <c r="G17" s="86" t="inlineStr">
        <is>
          <t>[  ] ตั้ง 25°C</t>
        </is>
      </c>
      <c r="H17" s="86" t="inlineStr">
        <is>
          <t>[  ] ตรวจแล้ว</t>
        </is>
      </c>
      <c r="I17" s="99" t="inlineStr"/>
    </row>
    <row r="18" ht="22" customHeight="1">
      <c r="A18" s="86" t="inlineStr">
        <is>
          <t>2026-09-14</t>
        </is>
      </c>
      <c r="B18" s="86" t="inlineStr"/>
      <c r="C18" s="86" t="inlineStr">
        <is>
          <t>[  ] ปกติ</t>
        </is>
      </c>
      <c r="D18" s="86" t="inlineStr">
        <is>
          <t>[  ] 10:00-15:00</t>
        </is>
      </c>
      <c r="E18" s="86" t="inlineStr">
        <is>
          <t>[  ] เรียบร้อย</t>
        </is>
      </c>
      <c r="F18" s="86" t="inlineStr">
        <is>
          <t>[  ] ปิดครบ</t>
        </is>
      </c>
      <c r="G18" s="86" t="inlineStr">
        <is>
          <t>[  ] ตั้ง 25°C</t>
        </is>
      </c>
      <c r="H18" s="86" t="inlineStr">
        <is>
          <t>[  ] ตรวจแล้ว</t>
        </is>
      </c>
      <c r="I18" s="99" t="inlineStr"/>
    </row>
    <row r="19" ht="22" customHeight="1">
      <c r="A19" s="86" t="inlineStr">
        <is>
          <t>2026-09-15</t>
        </is>
      </c>
      <c r="B19" s="86" t="inlineStr"/>
      <c r="C19" s="86" t="inlineStr">
        <is>
          <t>[  ] ปกติ</t>
        </is>
      </c>
      <c r="D19" s="86" t="inlineStr">
        <is>
          <t>[  ] 10:00-15:00</t>
        </is>
      </c>
      <c r="E19" s="86" t="inlineStr">
        <is>
          <t>[  ] เรียบร้อย</t>
        </is>
      </c>
      <c r="F19" s="86" t="inlineStr">
        <is>
          <t>[  ] ปิดครบ</t>
        </is>
      </c>
      <c r="G19" s="86" t="inlineStr">
        <is>
          <t>[  ] ตั้ง 25°C</t>
        </is>
      </c>
      <c r="H19" s="86" t="inlineStr">
        <is>
          <t>[  ] ตรวจแล้ว</t>
        </is>
      </c>
      <c r="I19" s="99" t="inlineStr"/>
    </row>
    <row r="20" ht="22" customHeight="1">
      <c r="A20" s="86" t="inlineStr">
        <is>
          <t>2026-09-16</t>
        </is>
      </c>
      <c r="B20" s="86" t="inlineStr"/>
      <c r="C20" s="86" t="inlineStr">
        <is>
          <t>[  ] ปกติ</t>
        </is>
      </c>
      <c r="D20" s="86" t="inlineStr">
        <is>
          <t>[  ] 10:00-15:00</t>
        </is>
      </c>
      <c r="E20" s="86" t="inlineStr">
        <is>
          <t>[  ] เรียบร้อย</t>
        </is>
      </c>
      <c r="F20" s="86" t="inlineStr">
        <is>
          <t>[  ] ปิดครบ</t>
        </is>
      </c>
      <c r="G20" s="86" t="inlineStr">
        <is>
          <t>[  ] ตั้ง 25°C</t>
        </is>
      </c>
      <c r="H20" s="86" t="inlineStr">
        <is>
          <t>[  ] ตรวจแล้ว</t>
        </is>
      </c>
      <c r="I20" s="99" t="inlineStr"/>
    </row>
    <row r="21" ht="22" customHeight="1">
      <c r="A21" s="86" t="inlineStr">
        <is>
          <t>2026-09-17</t>
        </is>
      </c>
      <c r="B21" s="86" t="inlineStr"/>
      <c r="C21" s="86" t="inlineStr">
        <is>
          <t>[  ] ปกติ</t>
        </is>
      </c>
      <c r="D21" s="86" t="inlineStr">
        <is>
          <t>[  ] 10:00-15:00</t>
        </is>
      </c>
      <c r="E21" s="86" t="inlineStr">
        <is>
          <t>[  ] เรียบร้อย</t>
        </is>
      </c>
      <c r="F21" s="86" t="inlineStr">
        <is>
          <t>[  ] ปิดครบ</t>
        </is>
      </c>
      <c r="G21" s="86" t="inlineStr">
        <is>
          <t>[  ] ตั้ง 25°C</t>
        </is>
      </c>
      <c r="H21" s="86" t="inlineStr">
        <is>
          <t>[  ] ตรวจแล้ว</t>
        </is>
      </c>
      <c r="I21" s="99" t="inlineStr"/>
    </row>
    <row r="22" ht="22" customHeight="1">
      <c r="A22" s="86" t="inlineStr">
        <is>
          <t>2026-09-18</t>
        </is>
      </c>
      <c r="B22" s="86" t="inlineStr"/>
      <c r="C22" s="86" t="inlineStr">
        <is>
          <t>[  ] ปกติ</t>
        </is>
      </c>
      <c r="D22" s="86" t="inlineStr">
        <is>
          <t>[  ] 10:00-15:00</t>
        </is>
      </c>
      <c r="E22" s="86" t="inlineStr">
        <is>
          <t>[  ] เรียบร้อย</t>
        </is>
      </c>
      <c r="F22" s="86" t="inlineStr">
        <is>
          <t>[  ] ปิดครบ</t>
        </is>
      </c>
      <c r="G22" s="86" t="inlineStr">
        <is>
          <t>[  ] ตั้ง 25°C</t>
        </is>
      </c>
      <c r="H22" s="86" t="inlineStr">
        <is>
          <t>[  ] ตรวจแล้ว</t>
        </is>
      </c>
      <c r="I22" s="99" t="inlineStr"/>
    </row>
    <row r="23" ht="22" customHeight="1">
      <c r="A23" s="86" t="inlineStr">
        <is>
          <t>2026-09-19</t>
        </is>
      </c>
      <c r="B23" s="86" t="inlineStr"/>
      <c r="C23" s="86" t="inlineStr">
        <is>
          <t>[  ] ปกติ</t>
        </is>
      </c>
      <c r="D23" s="86" t="inlineStr">
        <is>
          <t>[  ] 10:00-15:00</t>
        </is>
      </c>
      <c r="E23" s="86" t="inlineStr">
        <is>
          <t>[  ] เรียบร้อย</t>
        </is>
      </c>
      <c r="F23" s="86" t="inlineStr">
        <is>
          <t>[  ] ปิดครบ</t>
        </is>
      </c>
      <c r="G23" s="86" t="inlineStr">
        <is>
          <t>[  ] ตั้ง 25°C</t>
        </is>
      </c>
      <c r="H23" s="86" t="inlineStr">
        <is>
          <t>[  ] ตรวจแล้ว</t>
        </is>
      </c>
      <c r="I23" s="99" t="inlineStr"/>
    </row>
    <row r="24" ht="22" customHeight="1">
      <c r="A24" s="86" t="inlineStr">
        <is>
          <t>2026-09-20</t>
        </is>
      </c>
      <c r="B24" s="86" t="inlineStr"/>
      <c r="C24" s="86" t="inlineStr">
        <is>
          <t>[  ] ปกติ</t>
        </is>
      </c>
      <c r="D24" s="86" t="inlineStr">
        <is>
          <t>[  ] 10:00-15:00</t>
        </is>
      </c>
      <c r="E24" s="86" t="inlineStr">
        <is>
          <t>[  ] เรียบร้อย</t>
        </is>
      </c>
      <c r="F24" s="86" t="inlineStr">
        <is>
          <t>[  ] ปิดครบ</t>
        </is>
      </c>
      <c r="G24" s="86" t="inlineStr">
        <is>
          <t>[  ] ตั้ง 25°C</t>
        </is>
      </c>
      <c r="H24" s="86" t="inlineStr">
        <is>
          <t>[  ] ตรวจแล้ว</t>
        </is>
      </c>
      <c r="I24" s="99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2026-09-03T09:46:18Z</dcterms:created>
  <dcterms:modified xsi:type="dcterms:W3CDTF">2026-09-18T09:01:58Z</dcterms:modified>
</cp:coreProperties>
</file>