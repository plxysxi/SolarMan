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b4e21c585ef62a7/Desktop/SolarMan/"/>
    </mc:Choice>
  </mc:AlternateContent>
  <xr:revisionPtr revIDLastSave="2" documentId="11_D2ADE93AA6E8C4B4B5A846E2680A727C38A698A5" xr6:coauthVersionLast="47" xr6:coauthVersionMax="47" xr10:uidLastSave="{5BE2C969-6AD8-4A50-B544-59F8D9C07B7C}"/>
  <bookViews>
    <workbookView xWindow="-120" yWindow="-120" windowWidth="20730" windowHeight="11160" xr2:uid="{00000000-000D-0000-FFFF-FFFF00000000}"/>
  </bookViews>
  <sheets>
    <sheet name="Dashboard" sheetId="1" r:id="rId1"/>
    <sheet name="การเข้าพักและค่าไฟ" sheetId="2" r:id="rId2"/>
    <sheet name="ตารางเปรียบเทียบรายเดือน" sheetId="3" r:id="rId3"/>
    <sheet name="รายละเอียดแยกรายหลัง" sheetId="4" r:id="rId4"/>
    <sheet name="ฐานข้อมูลดิบ (Raw Data)" sheetId="5" r:id="rId5"/>
    <sheet name="บทวิเคราะห์และข้อสังเกต" sheetId="6" r:id="rId6"/>
  </sheets>
  <definedNames>
    <definedName name="_xlnm._FilterDatabase" localSheetId="4" hidden="1">'ฐานข้อมูลดิบ (Raw Data)'!$A$3:$M$47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6" i="4" l="1"/>
  <c r="I76" i="4"/>
  <c r="H76" i="4"/>
  <c r="G76" i="4"/>
  <c r="F76" i="4"/>
  <c r="E76" i="4"/>
  <c r="D76" i="4"/>
  <c r="J75" i="4"/>
  <c r="I75" i="4"/>
  <c r="H75" i="4"/>
  <c r="G75" i="4"/>
  <c r="F75" i="4"/>
  <c r="E75" i="4"/>
  <c r="D75" i="4"/>
  <c r="J63" i="4"/>
  <c r="I63" i="4"/>
  <c r="H63" i="4"/>
  <c r="G63" i="4"/>
  <c r="F63" i="4"/>
  <c r="E63" i="4"/>
  <c r="D63" i="4"/>
  <c r="J62" i="4"/>
  <c r="I62" i="4"/>
  <c r="H62" i="4"/>
  <c r="G62" i="4"/>
  <c r="F62" i="4"/>
  <c r="E62" i="4"/>
  <c r="D62" i="4"/>
  <c r="J49" i="4"/>
  <c r="I49" i="4"/>
  <c r="H49" i="4"/>
  <c r="G49" i="4"/>
  <c r="F49" i="4"/>
  <c r="E49" i="4"/>
  <c r="D49" i="4"/>
  <c r="J48" i="4"/>
  <c r="I48" i="4"/>
  <c r="H48" i="4"/>
  <c r="G48" i="4"/>
  <c r="F48" i="4"/>
  <c r="E48" i="4"/>
  <c r="D48" i="4"/>
  <c r="J42" i="4"/>
  <c r="I42" i="4"/>
  <c r="H42" i="4"/>
  <c r="G42" i="4"/>
  <c r="F42" i="4"/>
  <c r="E42" i="4"/>
  <c r="D42" i="4"/>
  <c r="J41" i="4"/>
  <c r="I41" i="4"/>
  <c r="H41" i="4"/>
  <c r="G41" i="4"/>
  <c r="F41" i="4"/>
  <c r="E41" i="4"/>
  <c r="D41" i="4"/>
  <c r="J30" i="4"/>
  <c r="I30" i="4"/>
  <c r="H30" i="4"/>
  <c r="G30" i="4"/>
  <c r="F30" i="4"/>
  <c r="E30" i="4"/>
  <c r="D30" i="4"/>
  <c r="J29" i="4"/>
  <c r="I29" i="4"/>
  <c r="H29" i="4"/>
  <c r="G29" i="4"/>
  <c r="F29" i="4"/>
  <c r="E29" i="4"/>
  <c r="D29" i="4"/>
  <c r="J16" i="4"/>
  <c r="I16" i="4"/>
  <c r="H16" i="4"/>
  <c r="G16" i="4"/>
  <c r="F16" i="4"/>
  <c r="E16" i="4"/>
  <c r="D16" i="4"/>
  <c r="J15" i="4"/>
  <c r="I15" i="4"/>
  <c r="H15" i="4"/>
  <c r="G15" i="4"/>
  <c r="F15" i="4"/>
  <c r="E15" i="4"/>
  <c r="D15" i="4"/>
  <c r="K52" i="3"/>
  <c r="J52" i="3"/>
  <c r="I52" i="3"/>
  <c r="H52" i="3"/>
  <c r="G52" i="3"/>
  <c r="F52" i="3"/>
  <c r="E52" i="3"/>
  <c r="D52" i="3"/>
  <c r="C52" i="3"/>
  <c r="M52" i="3" s="1"/>
  <c r="M51" i="3"/>
  <c r="L51" i="3"/>
  <c r="M50" i="3"/>
  <c r="L50" i="3"/>
  <c r="M49" i="3"/>
  <c r="L49" i="3"/>
  <c r="M48" i="3"/>
  <c r="L48" i="3"/>
  <c r="M47" i="3"/>
  <c r="L47" i="3"/>
  <c r="M46" i="3"/>
  <c r="L46" i="3"/>
  <c r="L52" i="3" s="1"/>
  <c r="K42" i="3"/>
  <c r="J42" i="3"/>
  <c r="I42" i="3"/>
  <c r="H42" i="3"/>
  <c r="G42" i="3"/>
  <c r="F42" i="3"/>
  <c r="E42" i="3"/>
  <c r="D42" i="3"/>
  <c r="C42" i="3"/>
  <c r="M42" i="3" s="1"/>
  <c r="M41" i="3"/>
  <c r="L41" i="3"/>
  <c r="M40" i="3"/>
  <c r="L40" i="3"/>
  <c r="M39" i="3"/>
  <c r="L39" i="3"/>
  <c r="M38" i="3"/>
  <c r="L38" i="3"/>
  <c r="M37" i="3"/>
  <c r="L37" i="3"/>
  <c r="M36" i="3"/>
  <c r="L36" i="3"/>
  <c r="L42" i="3" s="1"/>
  <c r="K32" i="3"/>
  <c r="J32" i="3"/>
  <c r="I32" i="3"/>
  <c r="H32" i="3"/>
  <c r="G32" i="3"/>
  <c r="F32" i="3"/>
  <c r="E32" i="3"/>
  <c r="M32" i="3" s="1"/>
  <c r="D32" i="3"/>
  <c r="C32" i="3"/>
  <c r="M31" i="3"/>
  <c r="L31" i="3"/>
  <c r="M30" i="3"/>
  <c r="L30" i="3"/>
  <c r="M29" i="3"/>
  <c r="L29" i="3"/>
  <c r="M28" i="3"/>
  <c r="L28" i="3"/>
  <c r="M27" i="3"/>
  <c r="L27" i="3"/>
  <c r="M26" i="3"/>
  <c r="L26" i="3"/>
  <c r="L32" i="3" s="1"/>
  <c r="L22" i="3"/>
  <c r="K22" i="3"/>
  <c r="J22" i="3"/>
  <c r="I22" i="3"/>
  <c r="H22" i="3"/>
  <c r="G22" i="3"/>
  <c r="F22" i="3"/>
  <c r="E22" i="3"/>
  <c r="D22" i="3"/>
  <c r="C22" i="3"/>
  <c r="M22" i="3" s="1"/>
  <c r="M21" i="3"/>
  <c r="L21" i="3"/>
  <c r="M20" i="3"/>
  <c r="L20" i="3"/>
  <c r="M19" i="3"/>
  <c r="L19" i="3"/>
  <c r="M18" i="3"/>
  <c r="L18" i="3"/>
  <c r="M17" i="3"/>
  <c r="L17" i="3"/>
  <c r="M16" i="3"/>
  <c r="L16" i="3"/>
  <c r="K12" i="3"/>
  <c r="J12" i="3"/>
  <c r="I12" i="3"/>
  <c r="H12" i="3"/>
  <c r="G12" i="3"/>
  <c r="F12" i="3"/>
  <c r="E12" i="3"/>
  <c r="D12" i="3"/>
  <c r="C12" i="3"/>
  <c r="M12" i="3" s="1"/>
  <c r="M11" i="3"/>
  <c r="L11" i="3"/>
  <c r="M10" i="3"/>
  <c r="L10" i="3"/>
  <c r="M9" i="3"/>
  <c r="L9" i="3"/>
  <c r="M8" i="3"/>
  <c r="L8" i="3"/>
  <c r="M7" i="3"/>
  <c r="L7" i="3"/>
  <c r="M6" i="3"/>
  <c r="L6" i="3"/>
  <c r="L12" i="3" s="1"/>
  <c r="D35" i="2"/>
  <c r="C35" i="2"/>
  <c r="E35" i="2" s="1"/>
  <c r="E34" i="2"/>
  <c r="H34" i="2" s="1"/>
  <c r="D34" i="2"/>
  <c r="C34" i="2"/>
  <c r="G33" i="2"/>
  <c r="E33" i="2"/>
  <c r="H33" i="2" s="1"/>
  <c r="D33" i="2"/>
  <c r="C33" i="2"/>
  <c r="D29" i="2"/>
  <c r="C29" i="2"/>
  <c r="E29" i="2" s="1"/>
  <c r="D28" i="2"/>
  <c r="C28" i="2"/>
  <c r="E28" i="2" s="1"/>
  <c r="E27" i="2"/>
  <c r="H27" i="2" s="1"/>
  <c r="D27" i="2"/>
  <c r="C27" i="2"/>
  <c r="G26" i="2"/>
  <c r="E26" i="2"/>
  <c r="H26" i="2" s="1"/>
  <c r="D26" i="2"/>
  <c r="C26" i="2"/>
  <c r="D22" i="2"/>
  <c r="C22" i="2"/>
  <c r="E22" i="2" s="1"/>
  <c r="H21" i="2"/>
  <c r="E21" i="2"/>
  <c r="G21" i="2" s="1"/>
  <c r="H20" i="2"/>
  <c r="G20" i="2"/>
  <c r="E20" i="2"/>
  <c r="G19" i="2"/>
  <c r="E19" i="2"/>
  <c r="H19" i="2" s="1"/>
  <c r="E18" i="2"/>
  <c r="H18" i="2" s="1"/>
  <c r="H17" i="2"/>
  <c r="E17" i="2"/>
  <c r="G17" i="2" s="1"/>
  <c r="H16" i="2"/>
  <c r="G16" i="2"/>
  <c r="E16" i="2"/>
  <c r="G15" i="2"/>
  <c r="E15" i="2"/>
  <c r="H15" i="2" s="1"/>
  <c r="E14" i="2"/>
  <c r="H14" i="2" s="1"/>
  <c r="H13" i="2"/>
  <c r="E13" i="2"/>
  <c r="G13" i="2" s="1"/>
  <c r="H12" i="2"/>
  <c r="G12" i="2"/>
  <c r="E12" i="2"/>
  <c r="G11" i="2"/>
  <c r="E11" i="2"/>
  <c r="H11" i="2" s="1"/>
  <c r="E10" i="2"/>
  <c r="H10" i="2" s="1"/>
  <c r="K30" i="1"/>
  <c r="J30" i="1"/>
  <c r="I30" i="1"/>
  <c r="H30" i="1"/>
  <c r="G30" i="1"/>
  <c r="F30" i="1"/>
  <c r="D30" i="1"/>
  <c r="K29" i="1"/>
  <c r="J29" i="1"/>
  <c r="I29" i="1"/>
  <c r="H29" i="1"/>
  <c r="G29" i="1"/>
  <c r="F29" i="1"/>
  <c r="D29" i="1"/>
  <c r="K28" i="1"/>
  <c r="E28" i="1"/>
  <c r="K27" i="1"/>
  <c r="E27" i="1"/>
  <c r="K26" i="1"/>
  <c r="E26" i="1"/>
  <c r="K25" i="1"/>
  <c r="E25" i="1"/>
  <c r="K24" i="1"/>
  <c r="E24" i="1"/>
  <c r="K23" i="1"/>
  <c r="E23" i="1"/>
  <c r="K22" i="1"/>
  <c r="E22" i="1"/>
  <c r="K21" i="1"/>
  <c r="E21" i="1"/>
  <c r="K20" i="1"/>
  <c r="E20" i="1"/>
  <c r="E29" i="1" s="1"/>
  <c r="J16" i="1"/>
  <c r="I16" i="1"/>
  <c r="H16" i="1"/>
  <c r="G16" i="1"/>
  <c r="F16" i="1"/>
  <c r="K16" i="1" s="1"/>
  <c r="D16" i="1"/>
  <c r="E15" i="1" s="1"/>
  <c r="K15" i="1"/>
  <c r="K14" i="1"/>
  <c r="E14" i="1"/>
  <c r="K13" i="1"/>
  <c r="K12" i="1"/>
  <c r="E12" i="1"/>
  <c r="K11" i="1"/>
  <c r="K10" i="1"/>
  <c r="E10" i="1"/>
  <c r="H22" i="2" l="1"/>
  <c r="G22" i="2"/>
  <c r="G35" i="2"/>
  <c r="H35" i="2"/>
  <c r="G28" i="2"/>
  <c r="H28" i="2"/>
  <c r="G29" i="2"/>
  <c r="H29" i="2"/>
  <c r="E11" i="1"/>
  <c r="E16" i="1" s="1"/>
  <c r="E13" i="1"/>
  <c r="G10" i="2"/>
  <c r="G14" i="2"/>
  <c r="G18" i="2"/>
  <c r="G27" i="2"/>
  <c r="G34" i="2"/>
</calcChain>
</file>

<file path=xl/sharedStrings.xml><?xml version="1.0" encoding="utf-8"?>
<sst xmlns="http://schemas.openxmlformats.org/spreadsheetml/2006/main" count="713" uniqueCount="225">
  <si>
    <t>รายงานสรุปภาพรวมการใช้ไฟฟ้า โซล่าเซลล์ และประสิทธิภาพการเข้าพัก (Executive Summary)</t>
  </si>
  <si>
    <t>โครงการ: LV Pool Villa &amp; Office Cha-am | สรุปข้อมูล: SolarMan (ม.ค. - ก.ย. 69) &amp; ข้อมูลการเข้าพัก-ค่าไฟจริง (พ.ค. - ส.ค. 69)</t>
  </si>
  <si>
    <t>⚡ รวมการใช้ไฟฟ้ารวม (kWh)</t>
  </si>
  <si>
    <t>☀️ ผลิตไฟจากโซล่าเซลล์ (kWh)</t>
  </si>
  <si>
    <t>🔌 ไฟฟ้าที่ซื้อจากการไฟฟ้า (kWh)</t>
  </si>
  <si>
    <t>🔄 ไฟฟ้าส่งออก/ขายคืน (kWh)</t>
  </si>
  <si>
    <t>🛏️ คืนพักรวม (4 เดือน)</t>
  </si>
  <si>
    <t>💰 ประหยัดเงินรวม (THB)</t>
  </si>
  <si>
    <t>41,630.30 kWh</t>
  </si>
  <si>
    <t>17,965.90 kWh</t>
  </si>
  <si>
    <t>24,183.40 kWh</t>
  </si>
  <si>
    <t>2,721.60 kWh</t>
  </si>
  <si>
    <t>141 คืน</t>
  </si>
  <si>
    <t>57,356.27 บาท</t>
  </si>
  <si>
    <t>เฉลี่ย 4,625.59 kWh/เดือน</t>
  </si>
  <si>
    <t>ทดแทนการใช้ไฟได้ 43.16%</t>
  </si>
  <si>
    <t>คิดเป็น 58.09% ของการใช้ไฟ</t>
  </si>
  <si>
    <t>ส่งออกไฟส่วนเกินเข้าระบบ</t>
  </si>
  <si>
    <t>เฉลี่ย 35.25 คืน/เดือน</t>
  </si>
  <si>
    <t>*ไม่รวม B3 ที่ยังไม่ตั้งค่าราคา</t>
  </si>
  <si>
    <t>1. ตารางสรุปภาพรวมระบบไฟฟ้าและโซล่าเซลล์แยกตามหลัง/อาคาร (Building Summary Table)</t>
  </si>
  <si>
    <t>ลำดับ</t>
  </si>
  <si>
    <t>ชื่ออาคาร / สถานีไฟฟ้า</t>
  </si>
  <si>
    <t>จำนวนเดือน</t>
  </si>
  <si>
    <t>ปริมาณการใช้ไฟฟ้า
(kWh)</t>
  </si>
  <si>
    <t>สัดส่วนการใช้ไฟ
(% Share)</t>
  </si>
  <si>
    <t>การผลิตไฟโซล่าร์
(kWh)</t>
  </si>
  <si>
    <t>ซื้อจากการไฟฟ้า
(kWh)</t>
  </si>
  <si>
    <t>ส่งออกไฟฟ้า
(kWh)</t>
  </si>
  <si>
    <t>ชาร์จแบตเตอรี่
(kWh)</t>
  </si>
  <si>
    <t>ประหยัดเงินตามระบบ
(THB)</t>
  </si>
  <si>
    <t>สัดส่วนโซล่าร์ต่อการใช้
(Coverage %)</t>
  </si>
  <si>
    <t>Building 1 (หลังที่ 1)</t>
  </si>
  <si>
    <t>9 เดือน</t>
  </si>
  <si>
    <t>Building 2 (หลังที่ 2)</t>
  </si>
  <si>
    <t>Building 3 (หลังที่ 3)</t>
  </si>
  <si>
    <t>7 เดือน</t>
  </si>
  <si>
    <t>Building 4 (หลังที่ 4)</t>
  </si>
  <si>
    <t>2 เดือน</t>
  </si>
  <si>
    <t>Building 5 (หลังที่ 5)</t>
  </si>
  <si>
    <t>Office (ออฟฟิศ)</t>
  </si>
  <si>
    <t>8 เดือน</t>
  </si>
  <si>
    <t>-</t>
  </si>
  <si>
    <t>รวมทั้งหมด (Total)</t>
  </si>
  <si>
    <t>6 อาคาร</t>
  </si>
  <si>
    <t>2. ตารางสรุปแนวโน้มภาพรวมรายเดือน (Monthly Summary Trend)</t>
  </si>
  <si>
    <t>เดือน (Period)</t>
  </si>
  <si>
    <t>ชื่อเดือน (Month)</t>
  </si>
  <si>
    <t>2026/01</t>
  </si>
  <si>
    <t>ม.ค. 2569 (2026/01)</t>
  </si>
  <si>
    <t>2026/02</t>
  </si>
  <si>
    <t>ก.พ. 2569 (2026/02)</t>
  </si>
  <si>
    <t>2026/03</t>
  </si>
  <si>
    <t>มี.ค. 2569 (2026/03)</t>
  </si>
  <si>
    <t>2026/04</t>
  </si>
  <si>
    <t>เม.ย. 2569 (2026/04)</t>
  </si>
  <si>
    <t>2026/05</t>
  </si>
  <si>
    <t>พ.ค. 2569 (2026/05)</t>
  </si>
  <si>
    <t>2026/06</t>
  </si>
  <si>
    <t>มิ.ย. 2569 (2026/06)</t>
  </si>
  <si>
    <t>2026/07</t>
  </si>
  <si>
    <t>ก.ค. 2569 (2026/07)</t>
  </si>
  <si>
    <t>2026/08</t>
  </si>
  <si>
    <t>ส.ค. 2569 (2026/08)</t>
  </si>
  <si>
    <t>2026/09</t>
  </si>
  <si>
    <t>ก.ย. 2569 (2026/09)*</t>
  </si>
  <si>
    <t>รวมทั้งหมด</t>
  </si>
  <si>
    <t>Total (9 เดือน)</t>
  </si>
  <si>
    <t>ค่าเฉลี่ย/เดือน</t>
  </si>
  <si>
    <t>Average (เต็ม 8 เดือน)*</t>
  </si>
  <si>
    <t>*หมายเหตุ: เดือน 2026/09 เป็นข้อมูลสะสม 3 วันแรกของเดือน (ถึง 03/09/2026) | ค่าเฉลี่ยคำนวณจากเดือนที่เต็ม 8 เดือน (ม.ค. - ส.ค.)</t>
  </si>
  <si>
    <t>ตารางวิเคราะห์ข้อมูลการเข้าพักและประสิทธิภาพค่าไฟฟ้า (Occupancy &amp; Electricity Cost Analysis)</t>
  </si>
  <si>
    <t>โครงการ: LV Pool Villa Cha-am | ข้อมูลรายเดือน: พฤษภาคม 2569 – สิงหาคม 2569 | เกณฑ์เป้าหมาย: ค่าไฟไม่เกิน 250.00 บาท/คืน-หลัง</t>
  </si>
  <si>
    <t>💰 ค่าไฟฟ้ารวมตามบิล (4 เดือน)</t>
  </si>
  <si>
    <t>🛏️ คืน-หลังที่เข้าพักรวม</t>
  </si>
  <si>
    <t>📊 ค่าไฟเฉลี่ยรวม/คืน-หลัง</t>
  </si>
  <si>
    <t>🎯 อัตราผ่านเป้าหมาย (&lt;=250 บ.)</t>
  </si>
  <si>
    <t>🌟 เดือนที่คุ้มค่าที่สุด</t>
  </si>
  <si>
    <t>45,104.84 บาท</t>
  </si>
  <si>
    <t>319.89 บาท</t>
  </si>
  <si>
    <t>4 / 12 ครั้ง (33%)</t>
  </si>
  <si>
    <t>พ.ค. 69 (฿168.55)</t>
  </si>
  <si>
    <t>พ.ค. - ส.ค. 2569</t>
  </si>
  <si>
    <t>เกินเป้าหมาย +69.89 บ./คืน</t>
  </si>
  <si>
    <t>ผ่านเป้า 4 ครั้ง / เกินเป้า 8 ครั้ง</t>
  </si>
  <si>
    <t>เข้าพัก 67 คืน (ผ่านเป้า 100%)</t>
  </si>
  <si>
    <t>1. ตารางบันทึกข้อมูลค่าไฟฟ้าและจำนวนคืนที่เข้าพักจริง (Occupancy &amp; Electricity Cost Table)</t>
  </si>
  <si>
    <t>เดือน</t>
  </si>
  <si>
    <t>มิเตอร์/หลัง</t>
  </si>
  <si>
    <t>ค่าไฟ (บาท)</t>
  </si>
  <si>
    <t>คืน-หลังที่เข้าพัก</t>
  </si>
  <si>
    <t>ค่าไฟ/คืน-หลัง
(บาท)</t>
  </si>
  <si>
    <t>เป้าหมาย
(บาท)</t>
  </si>
  <si>
    <t>สถานะ</t>
  </si>
  <si>
    <t>ส่วนต่างจากเป้า
(บาท)</t>
  </si>
  <si>
    <t>หมายเหตุ</t>
  </si>
  <si>
    <t>เป้าหมาย 250</t>
  </si>
  <si>
    <t>พ.ค. 69</t>
  </si>
  <si>
    <t>หลัง 1</t>
  </si>
  <si>
    <t>หลัง 2-3</t>
  </si>
  <si>
    <t>หลัง 4-5</t>
  </si>
  <si>
    <t>มิ.ย. 69</t>
  </si>
  <si>
    <t>ก.ค. 69</t>
  </si>
  <si>
    <t>ส.ค. 69</t>
  </si>
  <si>
    <t>นับคืน-หลังจากปฏิทินเบื้องต้น</t>
  </si>
  <si>
    <t>รวมทั้งหมด (Total 4 เดือน)</t>
  </si>
  <si>
    <t>สรุปภาพรวม 141 คืน-หลัง</t>
  </si>
  <si>
    <t>2. ตารางสรุปเปรียบเทียบประสิทธิภาพรายเดือน (Monthly Occupancy Summary)</t>
  </si>
  <si>
    <t>ค่าไฟฟ้ารวม (บาท)</t>
  </si>
  <si>
    <t>คืนพักรวม (คืน-หลัง)</t>
  </si>
  <si>
    <t>ค่าไฟเฉลี่ย/คืน (บาท)</t>
  </si>
  <si>
    <t>เป้าหมาย (บาท)</t>
  </si>
  <si>
    <t>สถานะเฉลี่ย</t>
  </si>
  <si>
    <t>ส่วนต่างจากเป้า (บาท)</t>
  </si>
  <si>
    <t>จำนวนหลังที่ผ่านเป้า</t>
  </si>
  <si>
    <t>การประเมินผล</t>
  </si>
  <si>
    <t>ผ่าน 3 จาก 3 หลัง (100%)</t>
  </si>
  <si>
    <t>🌟 ดีเยี่ยม: แขกเข้าพักหนาแน่น ต้นทุนเฉลี่ยต่ำสุด 168.55 บ./คืน</t>
  </si>
  <si>
    <t>ผ่าน 0 จาก 3 หลัง (0%)</t>
  </si>
  <si>
    <t>⚠️ เกินเป้า: จำนวนเข้าพักลดลงฮวบเหลือ 26 คืน ทำให้ Base Load ถูกหารน้อย</t>
  </si>
  <si>
    <t>ผ่าน 1 จาก 3 หลัง (33%)</t>
  </si>
  <si>
    <t>⚡ ปานกลาง: หลัง 2-3 ผ่านเป้า (229 บ.) แต่หลัง 1 และ 4-5 เกินเป้า</t>
  </si>
  <si>
    <t>🔴 เกินเป้าสูงสุด: จำนวนคืนพักต่ำสุด 19 คืน ต้นทุน/คืนพุ่ง 612.72 บ./คืน</t>
  </si>
  <si>
    <t>3. ตารางสรุปเปรียบเทียบแยกตามมิเตอร์/กลุ่มหลัง (Summary by House/Meter Group)</t>
  </si>
  <si>
    <t>กลุ่มมิเตอร์ / หลัง</t>
  </si>
  <si>
    <t>อัตราผ่านเป้า (ครั้ง)</t>
  </si>
  <si>
    <t>ข้อสังเกตและพฤติกรรม</t>
  </si>
  <si>
    <t>1 / 4 ครั้ง (25%)</t>
  </si>
  <si>
    <t>ใช้ไฟเฉลี่ย 378.37 บ./คืน | มีการใช้ไฟต่อหลังค่อนข้างสูง</t>
  </si>
  <si>
    <t>2 / 4 ครั้ง (50%)</t>
  </si>
  <si>
    <t>ใช้ไฟเฉลี่ย 287.17 บ./คืน | ผลงานดีที่สุด เข้าพักรวม 58 คืน</t>
  </si>
  <si>
    <t>ใช้ไฟเฉลี่ย 321.53 บ./คืน | ส.ค. พุ่งสูง 756.68 บ./คืน (แขกพัก 6 คืน)</t>
  </si>
  <si>
    <t>ตารางวิเคราะห์และเปรียบเทียบข้อมูลรายเดือน (Monthly Comparison Matrices)</t>
  </si>
  <si>
    <t>เปรียบเทียบแต่ละอาคารในมิติต่างๆ: ปริมาณการใช้ไฟฟ้า, การผลิตโซล่าเซลล์, การซื้อไฟ, การส่งออก, และมูลค่าประหยัด</t>
  </si>
  <si>
    <t>1. ปริมาณการใช้ไฟฟ้าในแต่ละเดือน (Electricity Consumption - kWh)</t>
  </si>
  <si>
    <t>ชื่ออาคาร / สถานี</t>
  </si>
  <si>
    <t>เฉลี่ย/เดือน (Avg)</t>
  </si>
  <si>
    <t>รวมทุกอาคาร (Total)</t>
  </si>
  <si>
    <t>2. ปริมาณการผลิตไฟฟ้าจากโซล่าเซลล์ (Solar Generation - kWh)</t>
  </si>
  <si>
    <t>3. ปริมาณไฟฟ้าที่ซื้อจากการไฟฟ้า (Grid Import - kWh)</t>
  </si>
  <si>
    <t>4. ปริมาณไฟฟ้าที่ส่งออก / ขายคืน (Grid Export - kWh)</t>
  </si>
  <si>
    <t>5. ผลตอบแทนที่คาดการณ์ / มูลค่าประหยัด (Estimated Savings - THB)</t>
  </si>
  <si>
    <t>รายละเอียดข้อมูลสถิติรายเดือนแยกแต่ละอาคาร (Building Monthly Breakdown)</t>
  </si>
  <si>
    <t>แสดงข้อมูลการใช้ไฟฟ้า, การผลิตโซล่าเซลล์, ซื้อจากการไฟฟ้า, ส่งออก, การชาร์จแบตเตอรี่ และผลตอบแทนของแต่ละหลัง</t>
  </si>
  <si>
    <t>อาคารที่ 1: Building 1 (หลังที่ 1) (จำนวนบันทึก 9 เดือน)</t>
  </si>
  <si>
    <t>ชื่อเดือน</t>
  </si>
  <si>
    <t>อัตราใช้เอง
(%)</t>
  </si>
  <si>
    <t>รวมสะสม</t>
  </si>
  <si>
    <t>ค่าเฉลี่ย</t>
  </si>
  <si>
    <t>Average / เดือน</t>
  </si>
  <si>
    <t>อาคารที่ 2: Building 2 (หลังที่ 2) (จำนวนบันทึก 9 เดือน)</t>
  </si>
  <si>
    <t>อาคารที่ 3: Building 3 (หลังที่ 3) (จำนวนบันทึก 7 เดือน)</t>
  </si>
  <si>
    <t>Total (7 เดือน)</t>
  </si>
  <si>
    <t>อาคารที่ 4: Building 4 (หลังที่ 4) (จำนวนบันทึก 2 เดือน)</t>
  </si>
  <si>
    <t>Total (2 เดือน)</t>
  </si>
  <si>
    <t>อาคารที่ 5: Building 5 (หลังที่ 5) (จำนวนบันทึก 9 เดือน)</t>
  </si>
  <si>
    <t>อาคารที่ 6: Office (ออฟฟิศ) (จำนวนบันทึก 8 เดือน)</t>
  </si>
  <si>
    <t>Total (8 เดือน)</t>
  </si>
  <si>
    <t>ฐานข้อมูลดิบรวมทุกสถานีไฟฟ้า (Consolidated Raw Master Data)</t>
  </si>
  <si>
    <t>ชื่ออาคาร (Standard Name)</t>
  </si>
  <si>
    <t>เวลาอัปเดต (Period)</t>
  </si>
  <si>
    <t>ปริมาณการผลิตไฟฟ้าในเดือนนี้ (kWh)</t>
  </si>
  <si>
    <t>ปริมาณการใช้ไฟฟ้าในเดือนปัจจุบัน (kWh)</t>
  </si>
  <si>
    <t>ปริมาณเชื่อมต่อในเดือนปัจจุบัน (kWh)</t>
  </si>
  <si>
    <t>ปริมาณไฟฟ้าที่ซื้อในเดือนนี้ (kWh)</t>
  </si>
  <si>
    <t>ปริมาณการชาร์จในเดือนนี้ (kWh)</t>
  </si>
  <si>
    <t>ปริมาณไฟฟ้าที่ส่งออกในเดือนนี้ (kWh)</t>
  </si>
  <si>
    <t>อัตราส่วนการใช้เอง (%)</t>
  </si>
  <si>
    <t>ผลตอบแทนที่คาดการณ์ (THB)</t>
  </si>
  <si>
    <t>ไฟล์ต้นทาง (Source File)</t>
  </si>
  <si>
    <t>Lv pool villa building4</t>
  </si>
  <si>
    <t>Lv pool villa building4-สถิติรายเดือน-20260903.xlsx</t>
  </si>
  <si>
    <t>Lv poolvilla building 1</t>
  </si>
  <si>
    <t>Lv poolvilla building 1-สถิติรายเดือน-20260903.xlsx</t>
  </si>
  <si>
    <t>Lv poolvilla building 2</t>
  </si>
  <si>
    <t>Lv poolvilla building 2-สถิติรายเดือน-20260903.xlsx</t>
  </si>
  <si>
    <t>Lv poolvilla building 3</t>
  </si>
  <si>
    <t>Lv poolvilla building 3-สถิติรายเดือน-20260903.xlsx</t>
  </si>
  <si>
    <t>Lv poolvilla building 5</t>
  </si>
  <si>
    <t>Lv poolvilla building 5-สถิติรายเดือน-20260903.xlsx</t>
  </si>
  <si>
    <t>Office LVvilla Cha-am</t>
  </si>
  <si>
    <t>Office LVvilla Cha-am-สถิติรายเดือน-20260903.xlsx</t>
  </si>
  <si>
    <t>สรุปบทวิเคราะห์เชิงลึกและข้อเสนอแนะ (In-depth Analysis &amp; Recommendations)</t>
  </si>
  <si>
    <t>1. บทวิเคราะห์ความสัมพันธ์ระหว่าง 'จำนวนคืนพัก' และ 'ค่าไฟต่อคืน' (Occupancy vs Cost/Night)</t>
  </si>
  <si>
    <t>• ความสัมพันธ์แบบผกผัน (Inverse Correlation)</t>
  </si>
  <si>
    <t>เมื่อจำนวนคืนพักสูง (เช่น พ.ค. 67 คืน) ค่าไฟเฉลี่ยต่อคืนจะต่ำมากเพียง 168.55 บาท/คืน (ผ่านเป้าหมาย 250 บ. ทุกหลัง 100%) แต่เมื่อคืนพักลดลง (มิ.ย. 26 คืน, ส.ค. 19 คืน) ค่าไฟต่อคืนจะพุ่งสูงถึง 525.25 - 612.72 บาท/คืน (เกินเป้าหมายทุกหลัง)</t>
  </si>
  <si>
    <t>• สาเหตุหลัก: ค่าไฟฐานคงที่ (Fixed Base Load)</t>
  </si>
  <si>
    <t>พูลวิลล่ามีอุปกรณ์ที่ต้องใช้ไฟต่อเนื่องตลอดเวลาแม้ไม่มีผู้เข้าพัก เช่น ปั๊มกรองน้ำสระว่ายน้ำ (Pool Pump), ไฟรอบสระ/สวน, ตู้เย็น, กล้องวงจรปิด, Wi-Fi เมื่อแขกเข้าพักน้อย ตัวหารจำนวนคืนน้อย ทำให้ Base Load ตกเป็นต้นทุนต่อคืนที่สูง</t>
  </si>
  <si>
    <t>• ผลงานแยกตามกลุ่มหลัง</t>
  </si>
  <si>
    <t>กลุ่มหลัง 2-3 มีผลงานดีที่สุด มีค่าไฟเฉลี่ย 287.17 บาท/คืน (ผ่านเป้าหมาย 2 ใน 4 เดือน) เนื่องจากมีอัตราการเข้าพักสม่ำเสมอกว่า (รวม 58 คืน)</t>
  </si>
  <si>
    <t>• ข้อเสนอแนะการจัดการ</t>
  </si>
  <si>
    <t>1. ตั้งเวลาเดินปั๊มสระว่ายน้ำเฉพาะช่วง 10:00 - 15:00 น. เพื่อใช้พลังงานแสงอาทิตย์จากโซล่าเซลล์ฟรี 100%
2. ปิดตู้เย็น/เบรกเกอร์แอร์ในบ้านพักที่ไม่มีแขกต่อเนื่องหลายวัน
3. ติดตั้ง Smart Plug หรือ Timer ควบคุมไฟทางเดิน</t>
  </si>
  <si>
    <t>2. ภาพรวมพฤติกรรมและแนวโน้มการใช้ไฟฟ้า (Electricity Consumption Insights)</t>
  </si>
  <si>
    <t>• ยอดการใช้ไฟฟ้ารวมทั้งโครงการ</t>
  </si>
  <si>
    <t>ตั้งแต่ ม.ค. 2569 – ก.ย. 2569 มีการใช้ไฟฟ้ารวม 41,630.30 kWh โดยมีค่าเฉลี่ยต่อเดือนอยู่ที่ 5,169.90 kWh/เดือน (คิดจาก 8 เดือนเต็ม)</t>
  </si>
  <si>
    <t>• ช่วงพีคการใช้ไฟฟ้าสูงสุด</t>
  </si>
  <si>
    <t>อยู่ในช่วง เดือนเมษายน (8,457.00 kWh) และ พฤษภาคม (8,280.30 kWh) ซึ่งเป็นฤดูร้อนและตรงกับช่วงเทศกาลท่องเที่ยว มีอัตราการใช้เครื่องปรับอากาศและเครื่องใช้ไฟฟ้าในพูลวิลล่าสูงมาก</t>
  </si>
  <si>
    <t>• อาคารที่ใช้ไฟฟ้าสูงสุด</t>
  </si>
  <si>
    <t>Building 1 (หลังที่ 1) มีการใช้ไฟฟ้ารวม 15,342.10 kWh คิดเป็นสัดส่วนสูงถึง 36.85% ของการใช้ไฟฟ้ารวมทั้งโครงการ รองลงมาคือ Building 2 (9,346.30 kWh หรือ 22.45%)</t>
  </si>
  <si>
    <t>3. ประสิทธิภาพและความคุ้มค่าของระบบโซล่าเซลล์ (Solar Performance &amp; Coverage)</t>
  </si>
  <si>
    <t>• ปริมาณการผลิตพลังงานแสงอาทิตย์รวม</t>
  </si>
  <si>
    <t>ผลิตได้รวม 17,965.90 kWh คิดเป็นสัดส่วนชดเชยการใช้ไฟฟ้าได้ถึง 43.16% ของความต้องการใช้ไฟฟ้ารวม</t>
  </si>
  <si>
    <t>• เดือนที่ผลิตไฟฟ้าจากแสงอาทิตย์ได้สูงสุด</t>
  </si>
  <si>
    <t>เดือนมีนาคม (3,009.50 kWh) และ เมษายน (2,902.90 kWh) เนื่องจากสภาพอากาศมีแดดจัด ท้องฟ้าแจ่มใส</t>
  </si>
  <si>
    <t>• การกักเก็บพลังงานด้วยแบตเตอรี่ (Battery Storage)</t>
  </si>
  <si>
    <t>มีการนำพลังงานแสงอาทิตย์ส่วนเกินไปชาร์จเข้าแบตเตอรี่รวม 3,208.40 kWh (โดยเฉพาะ Building 1 ชาร์จไป 1,400.70 kWh และ Building 3 ชาร์จไป 1,023.40 kWh) เพื่อนำมาจ่ายไฟให้กับบ้านพักในช่วงเวลากลางคืน</t>
  </si>
  <si>
    <t>• พลังงานไฟฟ้าส่วนเกินที่ส่งออกการไฟฟ้า</t>
  </si>
  <si>
    <t>มีปริมาณส่งออกรวม 2,721.60 kWh คิดเป็น 15.15% ของพลังงานที่ผลิตได้</t>
  </si>
  <si>
    <t>4. ผลประโยชน์ทางการเงินและการประหยัดค่าไฟ (Financial Returns &amp; Savings)</t>
  </si>
  <si>
    <t>• ผลตอบแทนสะสมที่ระบบรายงาน</t>
  </si>
  <si>
    <t>ประหยัดเงินรวมตามระบบ 57,356.27 บาท</t>
  </si>
  <si>
    <t>• ข้อสังเกต Building 3 (หลังที่ 3)</t>
  </si>
  <si>
    <t>ในไฟล์ระบบ SolarMan ของ Building 3 ไม่ได้มีการระบุหน่วยราคา (Return rate = Blank/NaN) ทั้งที่มีการผลิตไฟได้ถึง 2,420.00 kWh หากคำนวณตามอัตราเฉลี่ยของหลังอื่น (3.30 บาท/kWh) จะมีมูลค่าประหยัดเพิ่มขึ้นอีกประมาณ 7,986.00 บาท รวมเป็นมูลค่าประหยัดทั้งโครงการจริงประมาณ 65,342.27 บาท</t>
  </si>
  <si>
    <t>• อัตราผลตอบแทนของ Office</t>
  </si>
  <si>
    <t>มิเตอร์ของ Office มีการบันทึกค่าผลตอบแทนที่อัตราประมาณ 4.816 บาท/หน่วย (ตามอัตราค่าไฟฐานของการไฟฟ้า) ซึ่งประหยัดไปได้ 19,235.66 บาท</t>
  </si>
  <si>
    <t>5. ข้อสังเกตทางเทคนิคและบันทึกข้อมูลอุปกรณ์ (Technical &amp; Equipment Notes)</t>
  </si>
  <si>
    <t>• ข้อมูลของ Building 4 (หลังที่ 4)</t>
  </si>
  <si>
    <t>เริ่มมีการบันทึกข้อมูลเข้าระบบในเดือน สิงหาคม 2569 (2026/08) และ กันยายน 2569 จึงมีข้อมูลเพียง 2 เดือน</t>
  </si>
  <si>
    <t>• ข้อมูลของ Building 3 (หลังที่ 3)</t>
  </si>
  <si>
    <t>เริ่มบันทึกข้อมูลเข้าระบบตั้งแต่เดือน มีนาคม 2569 (2026/03) เป็นต้นมา (รวม 7 เดือน)</t>
  </si>
  <si>
    <t>• ข้อมูลของ Office</t>
  </si>
  <si>
    <t>ระบบมิเตอร์บันทึกเฉพาะปริมาณการผลิตของ Inverter ทำให้ค่าการผลิตเท่ากับการใช้ไฟ และยอดซื้อไฟจากการไฟฟ้าเป็น 0.00 kWh</t>
  </si>
  <si>
    <t>• ข้อมูลของเดือนกันยายน 2569 (2026/09)</t>
  </si>
  <si>
    <t>เป็นข้อมูลสะสม ณ วันที่ 3 กันยายน 2569 (ไม่ใช่ข้อมูลเต็มเดือน)</t>
  </si>
  <si>
    <t>ชื่อสถานีไฟฟ้า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</si>
</sst>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\+#,##0.00;\-#,##0.00;0.00"/>
  </numFmts>
  <fonts count="14" x14ac:knownFonts="1">
    <font>
      <sz val="11"/>
      <color theme="1"/>
      <name val="Tahoma"/>
      <family val="2"/>
      <scheme val="minor"/>
    </font>
    <font>
      <b/>
      <sz val="15"/>
      <color rgb="FFFFFFFF"/>
      <name val="Segoe UI"/>
    </font>
    <font>
      <i/>
      <sz val="10"/>
      <color rgb="FFE0E7FF"/>
      <name val="Segoe UI"/>
    </font>
    <font>
      <b/>
      <sz val="9"/>
      <color rgb="FF475569"/>
      <name val="Segoe UI"/>
    </font>
    <font>
      <b/>
      <sz val="15"/>
      <color rgb="FF0F172A"/>
      <name val="Segoe UI"/>
    </font>
    <font>
      <i/>
      <sz val="8"/>
      <color rgb="FF64748B"/>
      <name val="Segoe UI"/>
    </font>
    <font>
      <b/>
      <sz val="11"/>
      <color rgb="FF1E3A8A"/>
      <name val="Segoe UI"/>
    </font>
    <font>
      <b/>
      <sz val="10"/>
      <color rgb="FFFFFFFF"/>
      <name val="Segoe UI"/>
    </font>
    <font>
      <sz val="10"/>
      <color rgb="FF1F2937"/>
      <name val="Segoe UI"/>
    </font>
    <font>
      <b/>
      <sz val="10"/>
      <color rgb="FF0F172A"/>
      <name val="Segoe UI"/>
    </font>
    <font>
      <b/>
      <sz val="10"/>
      <color rgb="FF1F2937"/>
      <name val="Segoe UI"/>
    </font>
    <font>
      <b/>
      <sz val="10"/>
      <color rgb="FF15803D"/>
      <name val="Segoe UI"/>
    </font>
    <font>
      <i/>
      <sz val="9"/>
      <color rgb="FF475569"/>
      <name val="Segoe UI"/>
    </font>
    <font>
      <b/>
      <sz val="10"/>
      <color rgb="FFC2410C"/>
      <name val="Segoe UI"/>
    </font>
  </fonts>
  <fills count="21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EFF6FF"/>
        <bgColor rgb="FFEFF6FF"/>
      </patternFill>
    </fill>
    <fill>
      <patternFill patternType="solid">
        <fgColor rgb="FFECFDF5"/>
        <bgColor rgb="FFECFDF5"/>
      </patternFill>
    </fill>
    <fill>
      <patternFill patternType="solid">
        <fgColor rgb="FFFEF3C7"/>
        <bgColor rgb="FFFEF3C7"/>
      </patternFill>
    </fill>
    <fill>
      <patternFill patternType="solid">
        <fgColor rgb="FFF3E8FF"/>
        <bgColor rgb="FFF3E8FF"/>
      </patternFill>
    </fill>
    <fill>
      <patternFill patternType="solid">
        <fgColor rgb="FFF0FDFA"/>
        <bgColor rgb="FFF0FDFA"/>
      </patternFill>
    </fill>
    <fill>
      <patternFill patternType="solid">
        <fgColor rgb="FFEEF2F6"/>
        <bgColor rgb="FFEEF2F6"/>
      </patternFill>
    </fill>
    <fill>
      <patternFill patternType="solid">
        <fgColor rgb="FF1E40AF"/>
        <bgColor rgb="FF1E40AF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rgb="FFFCE7F3"/>
        <bgColor rgb="FFFCE7F3"/>
      </patternFill>
    </fill>
    <fill>
      <patternFill patternType="solid">
        <fgColor rgb="FFDCFCE7"/>
        <bgColor rgb="FFDCFCE7"/>
      </patternFill>
    </fill>
    <fill>
      <patternFill patternType="solid">
        <fgColor rgb="FFE0F2FE"/>
        <bgColor rgb="FFE0F2FE"/>
      </patternFill>
    </fill>
    <fill>
      <patternFill patternType="solid">
        <fgColor rgb="FFFFEDD5"/>
        <bgColor rgb="FFFFEDD5"/>
      </patternFill>
    </fill>
    <fill>
      <patternFill patternType="solid">
        <fgColor rgb="FFEDE9FE"/>
        <bgColor rgb="FFEDE9FE"/>
      </patternFill>
    </fill>
    <fill>
      <patternFill patternType="solid">
        <fgColor rgb="FF0D9488"/>
        <bgColor rgb="FF0D9488"/>
      </patternFill>
    </fill>
    <fill>
      <patternFill patternType="solid">
        <fgColor rgb="FFD97706"/>
        <bgColor rgb="FFD97706"/>
      </patternFill>
    </fill>
    <fill>
      <patternFill patternType="solid">
        <fgColor rgb="FF7C3AED"/>
        <bgColor rgb="FF7C3AED"/>
      </patternFill>
    </fill>
    <fill>
      <patternFill patternType="solid">
        <fgColor rgb="FF059669"/>
        <bgColor rgb="FF059669"/>
      </patternFill>
    </fill>
  </fills>
  <borders count="1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7" fillId="9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right" vertical="center"/>
    </xf>
    <xf numFmtId="10" fontId="8" fillId="0" borderId="1" xfId="0" applyNumberFormat="1" applyFont="1" applyBorder="1" applyAlignment="1">
      <alignment horizontal="right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4" fontId="8" fillId="10" borderId="1" xfId="0" applyNumberFormat="1" applyFont="1" applyFill="1" applyBorder="1" applyAlignment="1">
      <alignment horizontal="right" vertical="center"/>
    </xf>
    <xf numFmtId="10" fontId="8" fillId="10" borderId="1" xfId="0" applyNumberFormat="1" applyFont="1" applyFill="1" applyBorder="1" applyAlignment="1">
      <alignment horizontal="right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/>
    </xf>
    <xf numFmtId="4" fontId="9" fillId="11" borderId="3" xfId="0" applyNumberFormat="1" applyFont="1" applyFill="1" applyBorder="1" applyAlignment="1">
      <alignment horizontal="right" vertical="center"/>
    </xf>
    <xf numFmtId="10" fontId="9" fillId="11" borderId="3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4" fontId="10" fillId="5" borderId="1" xfId="0" applyNumberFormat="1" applyFont="1" applyFill="1" applyBorder="1" applyAlignment="1">
      <alignment horizontal="right" vertical="center"/>
    </xf>
    <xf numFmtId="10" fontId="10" fillId="5" borderId="1" xfId="0" applyNumberFormat="1" applyFont="1" applyFill="1" applyBorder="1" applyAlignment="1">
      <alignment horizontal="right" vertical="center"/>
    </xf>
    <xf numFmtId="0" fontId="5" fillId="0" borderId="0" xfId="0" applyFont="1"/>
    <xf numFmtId="3" fontId="8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0" fontId="11" fillId="13" borderId="1" xfId="0" applyFont="1" applyFill="1" applyBorder="1" applyAlignment="1">
      <alignment horizontal="center" vertical="center"/>
    </xf>
    <xf numFmtId="187" fontId="11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0" fontId="13" fillId="15" borderId="1" xfId="0" applyFont="1" applyFill="1" applyBorder="1" applyAlignment="1">
      <alignment horizontal="center" vertical="center"/>
    </xf>
    <xf numFmtId="187" fontId="13" fillId="0" borderId="1" xfId="0" applyNumberFormat="1" applyFont="1" applyBorder="1" applyAlignment="1">
      <alignment horizontal="right" vertical="center"/>
    </xf>
    <xf numFmtId="3" fontId="9" fillId="11" borderId="3" xfId="0" applyNumberFormat="1" applyFont="1" applyFill="1" applyBorder="1" applyAlignment="1">
      <alignment horizontal="right" vertical="center"/>
    </xf>
    <xf numFmtId="187" fontId="9" fillId="11" borderId="3" xfId="0" applyNumberFormat="1" applyFont="1" applyFill="1" applyBorder="1" applyAlignment="1">
      <alignment horizontal="right" vertical="center"/>
    </xf>
    <xf numFmtId="0" fontId="7" fillId="17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right" vertical="center"/>
    </xf>
    <xf numFmtId="4" fontId="10" fillId="10" borderId="1" xfId="0" applyNumberFormat="1" applyFont="1" applyFill="1" applyBorder="1" applyAlignment="1">
      <alignment horizontal="right" vertical="center"/>
    </xf>
    <xf numFmtId="187" fontId="13" fillId="10" borderId="1" xfId="0" applyNumberFormat="1" applyFont="1" applyFill="1" applyBorder="1" applyAlignment="1">
      <alignment horizontal="right" vertical="center"/>
    </xf>
    <xf numFmtId="0" fontId="7" fillId="18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center" vertical="center"/>
    </xf>
    <xf numFmtId="0" fontId="7" fillId="17" borderId="2" xfId="0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0" fillId="0" borderId="0" xfId="0"/>
    <xf numFmtId="0" fontId="4" fillId="3" borderId="8" xfId="0" applyFont="1" applyFill="1" applyBorder="1" applyAlignment="1">
      <alignment horizontal="center" vertical="center"/>
    </xf>
    <xf numFmtId="0" fontId="0" fillId="3" borderId="0" xfId="0" applyFill="1" applyBorder="1"/>
    <xf numFmtId="0" fontId="2" fillId="2" borderId="0" xfId="0" applyFont="1" applyFill="1" applyAlignment="1">
      <alignment horizontal="left" vertical="center" indent="1"/>
    </xf>
    <xf numFmtId="0" fontId="4" fillId="6" borderId="8" xfId="0" applyFont="1" applyFill="1" applyBorder="1" applyAlignment="1">
      <alignment horizontal="center" vertical="center"/>
    </xf>
    <xf numFmtId="0" fontId="0" fillId="6" borderId="9" xfId="0" applyFill="1" applyBorder="1"/>
    <xf numFmtId="0" fontId="3" fillId="3" borderId="6" xfId="0" applyFont="1" applyFill="1" applyBorder="1" applyAlignment="1">
      <alignment horizontal="center" vertical="center"/>
    </xf>
    <xf numFmtId="0" fontId="0" fillId="3" borderId="12" xfId="0" applyFill="1" applyBorder="1"/>
    <xf numFmtId="0" fontId="3" fillId="6" borderId="6" xfId="0" applyFont="1" applyFill="1" applyBorder="1" applyAlignment="1">
      <alignment horizontal="center" vertical="center"/>
    </xf>
    <xf numFmtId="0" fontId="0" fillId="6" borderId="7" xfId="0" applyFill="1" applyBorder="1"/>
    <xf numFmtId="0" fontId="1" fillId="2" borderId="0" xfId="0" applyFont="1" applyFill="1" applyAlignment="1">
      <alignment horizontal="left" vertical="center" indent="1"/>
    </xf>
    <xf numFmtId="0" fontId="5" fillId="3" borderId="10" xfId="0" applyFont="1" applyFill="1" applyBorder="1" applyAlignment="1">
      <alignment horizontal="center" vertical="center"/>
    </xf>
    <xf numFmtId="0" fontId="0" fillId="3" borderId="13" xfId="0" applyFill="1" applyBorder="1"/>
    <xf numFmtId="0" fontId="3" fillId="4" borderId="6" xfId="0" applyFont="1" applyFill="1" applyBorder="1" applyAlignment="1">
      <alignment horizontal="center" vertical="center"/>
    </xf>
    <xf numFmtId="0" fontId="0" fillId="4" borderId="12" xfId="0" applyFill="1" applyBorder="1"/>
    <xf numFmtId="0" fontId="3" fillId="5" borderId="6" xfId="0" applyFont="1" applyFill="1" applyBorder="1" applyAlignment="1">
      <alignment horizontal="center" vertical="center"/>
    </xf>
    <xf numFmtId="0" fontId="0" fillId="5" borderId="7" xfId="0" applyFill="1" applyBorder="1"/>
    <xf numFmtId="0" fontId="5" fillId="4" borderId="10" xfId="0" applyFont="1" applyFill="1" applyBorder="1" applyAlignment="1">
      <alignment horizontal="center" vertical="center"/>
    </xf>
    <xf numFmtId="0" fontId="0" fillId="4" borderId="11" xfId="0" applyFill="1" applyBorder="1"/>
    <xf numFmtId="0" fontId="5" fillId="7" borderId="16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0" fillId="6" borderId="11" xfId="0" applyFill="1" applyBorder="1"/>
    <xf numFmtId="0" fontId="0" fillId="4" borderId="7" xfId="0" applyFill="1" applyBorder="1"/>
    <xf numFmtId="0" fontId="5" fillId="5" borderId="10" xfId="0" applyFont="1" applyFill="1" applyBorder="1" applyAlignment="1">
      <alignment horizontal="center" vertical="center"/>
    </xf>
    <xf numFmtId="0" fontId="0" fillId="5" borderId="11" xfId="0" applyFill="1" applyBorder="1"/>
    <xf numFmtId="0" fontId="4" fillId="7" borderId="15" xfId="0" applyFont="1" applyFill="1" applyBorder="1" applyAlignment="1">
      <alignment horizontal="center" vertical="center"/>
    </xf>
    <xf numFmtId="0" fontId="0" fillId="4" borderId="13" xfId="0" applyFill="1" applyBorder="1"/>
    <xf numFmtId="0" fontId="4" fillId="4" borderId="8" xfId="0" applyFont="1" applyFill="1" applyBorder="1" applyAlignment="1">
      <alignment horizontal="center" vertical="center"/>
    </xf>
    <xf numFmtId="0" fontId="0" fillId="4" borderId="9" xfId="0" applyFill="1" applyBorder="1"/>
    <xf numFmtId="0" fontId="3" fillId="7" borderId="14" xfId="0" applyFont="1" applyFill="1" applyBorder="1" applyAlignment="1">
      <alignment horizontal="center" vertical="center"/>
    </xf>
    <xf numFmtId="0" fontId="0" fillId="4" borderId="0" xfId="0" applyFill="1" applyBorder="1"/>
    <xf numFmtId="0" fontId="4" fillId="5" borderId="8" xfId="0" applyFont="1" applyFill="1" applyBorder="1" applyAlignment="1">
      <alignment horizontal="center" vertical="center"/>
    </xf>
    <xf numFmtId="0" fontId="0" fillId="5" borderId="9" xfId="0" applyFill="1" applyBorder="1"/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3" fillId="5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/>
    </xf>
    <xf numFmtId="0" fontId="9" fillId="11" borderId="3" xfId="0" applyFont="1" applyFill="1" applyBorder="1"/>
    <xf numFmtId="0" fontId="10" fillId="1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/>
    <xf numFmtId="0" fontId="10" fillId="0" borderId="1" xfId="0" applyFont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th-TH"/>
              <a:t>แนวโน้มรายเดือน: การใช้ไฟฟ้า </a:t>
            </a:r>
            <a:r>
              <a:rPr lang="en-US"/>
              <a:t>vs </a:t>
            </a:r>
            <a:r>
              <a:rPr lang="th-TH"/>
              <a:t>การผลิตโซล่าเซลล์ </a:t>
            </a:r>
            <a:r>
              <a:rPr lang="en-US"/>
              <a:t>vs </a:t>
            </a:r>
            <a:r>
              <a:rPr lang="th-TH"/>
              <a:t>การซื้อไฟ (</a:t>
            </a:r>
            <a:r>
              <a:rPr lang="en-US"/>
              <a:t>kWh)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Dashboard!$D$19</c:f>
              <c:strCache>
                <c:ptCount val="1"/>
                <c:pt idx="0">
                  <c:v>ปริมาณการใช้ไฟฟ้า
(kWh)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Dashboard!$B$20:$B$28</c:f>
              <c:strCache>
                <c:ptCount val="9"/>
                <c:pt idx="0">
                  <c:v>2026/01</c:v>
                </c:pt>
                <c:pt idx="1">
                  <c:v>2026/02</c:v>
                </c:pt>
                <c:pt idx="2">
                  <c:v>2026/03</c:v>
                </c:pt>
                <c:pt idx="3">
                  <c:v>2026/04</c:v>
                </c:pt>
                <c:pt idx="4">
                  <c:v>2026/05</c:v>
                </c:pt>
                <c:pt idx="5">
                  <c:v>2026/06</c:v>
                </c:pt>
                <c:pt idx="6">
                  <c:v>2026/07</c:v>
                </c:pt>
                <c:pt idx="7">
                  <c:v>2026/08</c:v>
                </c:pt>
                <c:pt idx="8">
                  <c:v>2026/09</c:v>
                </c:pt>
              </c:strCache>
            </c:strRef>
          </c:cat>
          <c:val>
            <c:numRef>
              <c:f>Dashboard!$D$20:$D$28</c:f>
              <c:numCache>
                <c:formatCode>#,##0.00</c:formatCode>
                <c:ptCount val="9"/>
                <c:pt idx="0">
                  <c:v>3949.2</c:v>
                </c:pt>
                <c:pt idx="1">
                  <c:v>4381.6000000000004</c:v>
                </c:pt>
                <c:pt idx="2">
                  <c:v>5492.4000000000005</c:v>
                </c:pt>
                <c:pt idx="3">
                  <c:v>8457</c:v>
                </c:pt>
                <c:pt idx="4">
                  <c:v>8280.2999999999993</c:v>
                </c:pt>
                <c:pt idx="5">
                  <c:v>3914.1</c:v>
                </c:pt>
                <c:pt idx="6">
                  <c:v>4098.8</c:v>
                </c:pt>
                <c:pt idx="7">
                  <c:v>2785.8</c:v>
                </c:pt>
                <c:pt idx="8">
                  <c:v>271.10000000000002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D-4AE5-B0D8-4B8BD43C0190}"/>
            </c:ext>
          </c:extLst>
        </c:ser>
        <c:ser>
          <c:idx val="1"/>
          <c:order val="1"/>
          <c:tx>
            <c:strRef>
              <c:f>Dashboard!$F$19</c:f>
              <c:strCache>
                <c:ptCount val="1"/>
                <c:pt idx="0">
                  <c:v>การผลิตไฟโซล่าร์
(kWh)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Dashboard!$B$20:$B$28</c:f>
              <c:strCache>
                <c:ptCount val="9"/>
                <c:pt idx="0">
                  <c:v>2026/01</c:v>
                </c:pt>
                <c:pt idx="1">
                  <c:v>2026/02</c:v>
                </c:pt>
                <c:pt idx="2">
                  <c:v>2026/03</c:v>
                </c:pt>
                <c:pt idx="3">
                  <c:v>2026/04</c:v>
                </c:pt>
                <c:pt idx="4">
                  <c:v>2026/05</c:v>
                </c:pt>
                <c:pt idx="5">
                  <c:v>2026/06</c:v>
                </c:pt>
                <c:pt idx="6">
                  <c:v>2026/07</c:v>
                </c:pt>
                <c:pt idx="7">
                  <c:v>2026/08</c:v>
                </c:pt>
                <c:pt idx="8">
                  <c:v>2026/09</c:v>
                </c:pt>
              </c:strCache>
            </c:strRef>
          </c:cat>
          <c:val>
            <c:numRef>
              <c:f>Dashboard!$F$20:$F$28</c:f>
              <c:numCache>
                <c:formatCode>#,##0.00</c:formatCode>
                <c:ptCount val="9"/>
                <c:pt idx="0">
                  <c:v>2012.2</c:v>
                </c:pt>
                <c:pt idx="1">
                  <c:v>1947.9</c:v>
                </c:pt>
                <c:pt idx="2">
                  <c:v>2309.5</c:v>
                </c:pt>
                <c:pt idx="3">
                  <c:v>2902.9</c:v>
                </c:pt>
                <c:pt idx="4">
                  <c:v>2789.7</c:v>
                </c:pt>
                <c:pt idx="5">
                  <c:v>2202.9</c:v>
                </c:pt>
                <c:pt idx="6">
                  <c:v>2001.1</c:v>
                </c:pt>
                <c:pt idx="7">
                  <c:v>1662.7</c:v>
                </c:pt>
                <c:pt idx="8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0D-4AE5-B0D8-4B8BD43C0190}"/>
            </c:ext>
          </c:extLst>
        </c:ser>
        <c:ser>
          <c:idx val="2"/>
          <c:order val="2"/>
          <c:tx>
            <c:strRef>
              <c:f>Dashboard!$G$19</c:f>
              <c:strCache>
                <c:ptCount val="1"/>
                <c:pt idx="0">
                  <c:v>ซื้อจากการไฟฟ้า
(kWh)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Dashboard!$B$20:$B$28</c:f>
              <c:strCache>
                <c:ptCount val="9"/>
                <c:pt idx="0">
                  <c:v>2026/01</c:v>
                </c:pt>
                <c:pt idx="1">
                  <c:v>2026/02</c:v>
                </c:pt>
                <c:pt idx="2">
                  <c:v>2026/03</c:v>
                </c:pt>
                <c:pt idx="3">
                  <c:v>2026/04</c:v>
                </c:pt>
                <c:pt idx="4">
                  <c:v>2026/05</c:v>
                </c:pt>
                <c:pt idx="5">
                  <c:v>2026/06</c:v>
                </c:pt>
                <c:pt idx="6">
                  <c:v>2026/07</c:v>
                </c:pt>
                <c:pt idx="7">
                  <c:v>2026/08</c:v>
                </c:pt>
                <c:pt idx="8">
                  <c:v>2026/09</c:v>
                </c:pt>
              </c:strCache>
            </c:strRef>
          </c:cat>
          <c:val>
            <c:numRef>
              <c:f>Dashboard!$G$20:$G$28</c:f>
              <c:numCache>
                <c:formatCode>#,##0.00</c:formatCode>
                <c:ptCount val="9"/>
                <c:pt idx="0">
                  <c:v>1990.8</c:v>
                </c:pt>
                <c:pt idx="1">
                  <c:v>2488.6999999999998</c:v>
                </c:pt>
                <c:pt idx="2">
                  <c:v>3253.2</c:v>
                </c:pt>
                <c:pt idx="3">
                  <c:v>5578.5</c:v>
                </c:pt>
                <c:pt idx="4">
                  <c:v>5572.3</c:v>
                </c:pt>
                <c:pt idx="5">
                  <c:v>1809.7</c:v>
                </c:pt>
                <c:pt idx="6">
                  <c:v>2131.6999999999998</c:v>
                </c:pt>
                <c:pt idx="7">
                  <c:v>1202.4000000000001</c:v>
                </c:pt>
                <c:pt idx="8">
                  <c:v>156.1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0D-4AE5-B0D8-4B8BD43C0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เดือน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ปริมาณไฟฟ้า (</a:t>
                </a:r>
                <a:r>
                  <a:rPr lang="en-US"/>
                  <a:t>kWh)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th-TH"/>
              <a:t>สัดส่วนการใช้ไฟฟ้ารวมแยกตามอาคาร (% </a:t>
            </a:r>
            <a:r>
              <a:rPr lang="en-US"/>
              <a:t>Share by Building)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Dashboard!$D$9</c:f>
              <c:strCache>
                <c:ptCount val="1"/>
                <c:pt idx="0">
                  <c:v>ปริมาณการใช้ไฟฟ้า
(kWh)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Dashboard!$B$10:$B$15</c:f>
              <c:strCache>
                <c:ptCount val="6"/>
                <c:pt idx="0">
                  <c:v>Building 1 (หลังที่ 1)</c:v>
                </c:pt>
                <c:pt idx="1">
                  <c:v>Building 2 (หลังที่ 2)</c:v>
                </c:pt>
                <c:pt idx="2">
                  <c:v>Building 3 (หลังที่ 3)</c:v>
                </c:pt>
                <c:pt idx="3">
                  <c:v>Building 4 (หลังที่ 4)</c:v>
                </c:pt>
                <c:pt idx="4">
                  <c:v>Building 5 (หลังที่ 5)</c:v>
                </c:pt>
                <c:pt idx="5">
                  <c:v>Office (ออฟฟิศ)</c:v>
                </c:pt>
              </c:strCache>
            </c:strRef>
          </c:cat>
          <c:val>
            <c:numRef>
              <c:f>Dashboard!$D$10:$D$15</c:f>
              <c:numCache>
                <c:formatCode>#,##0.00</c:formatCode>
                <c:ptCount val="6"/>
                <c:pt idx="0">
                  <c:v>15342.1</c:v>
                </c:pt>
                <c:pt idx="1">
                  <c:v>9346.2999999999993</c:v>
                </c:pt>
                <c:pt idx="2">
                  <c:v>6108</c:v>
                </c:pt>
                <c:pt idx="3">
                  <c:v>187.4</c:v>
                </c:pt>
                <c:pt idx="4">
                  <c:v>6652.3</c:v>
                </c:pt>
                <c:pt idx="5">
                  <c:v>3994.2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3-46A2-9792-0093C83A1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th-TH"/>
              <a:t>เปรียบเทียบค่าไฟเฉลี่ยต่อคืน (บาท) </a:t>
            </a:r>
            <a:r>
              <a:rPr lang="en-US"/>
              <a:t>vs </a:t>
            </a:r>
            <a:r>
              <a:rPr lang="th-TH"/>
              <a:t>จำนวนคืนพัก (คืน-หลัง) รายเดือน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การเข้าพักและค่าไฟ!$E$24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การเข้าพักและค่าไฟ!$B$25:$B$28</c:f>
              <c:strCache>
                <c:ptCount val="4"/>
                <c:pt idx="0">
                  <c:v>เดือน</c:v>
                </c:pt>
                <c:pt idx="1">
                  <c:v>พ.ค. 69</c:v>
                </c:pt>
                <c:pt idx="2">
                  <c:v>มิ.ย. 69</c:v>
                </c:pt>
                <c:pt idx="3">
                  <c:v>ก.ค. 69</c:v>
                </c:pt>
              </c:strCache>
            </c:strRef>
          </c:cat>
          <c:val>
            <c:numRef>
              <c:f>การเข้าพักและค่าไฟ!$E$25:$E$28</c:f>
              <c:numCache>
                <c:formatCode>#,##0.00</c:formatCode>
                <c:ptCount val="4"/>
                <c:pt idx="0" formatCode="General">
                  <c:v>0</c:v>
                </c:pt>
                <c:pt idx="1">
                  <c:v>168.55223880597015</c:v>
                </c:pt>
                <c:pt idx="2">
                  <c:v>525.25423076923073</c:v>
                </c:pt>
                <c:pt idx="3">
                  <c:v>293.57379310344828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C74-A543-B4EB5BE72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เดือน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ค่าไฟเฉลี่ย / คืน-หลัง (บาท)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th-TH"/>
              <a:t>เปรียบเทียบค่าไฟเฉลี่ยต่อคืนของแต่ละกลุ่มหลัง (เป้าหมาย 250 บ.)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การเข้าพักและค่าไฟ!$E$31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การเข้าพักและค่าไฟ!$B$32:$B$34</c:f>
              <c:strCache>
                <c:ptCount val="3"/>
                <c:pt idx="0">
                  <c:v>กลุ่มมิเตอร์ / หลัง</c:v>
                </c:pt>
                <c:pt idx="1">
                  <c:v>หลัง 1</c:v>
                </c:pt>
                <c:pt idx="2">
                  <c:v>หลัง 2-3</c:v>
                </c:pt>
              </c:strCache>
            </c:strRef>
          </c:cat>
          <c:val>
            <c:numRef>
              <c:f>การเข้าพักและค่าไฟ!$E$32:$E$34</c:f>
              <c:numCache>
                <c:formatCode>#,##0.00</c:formatCode>
                <c:ptCount val="3"/>
                <c:pt idx="0" formatCode="General">
                  <c:v>0</c:v>
                </c:pt>
                <c:pt idx="1">
                  <c:v>378.36870967741936</c:v>
                </c:pt>
                <c:pt idx="2">
                  <c:v>287.17362068965519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C-49A8-B84A-CA1C1CCD6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กลุ่มมิเตอร์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บาท / คืน-หลัง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0</xdr:rowOff>
    </xdr:from>
    <xdr:ext cx="61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32</xdr:row>
      <xdr:rowOff>0</xdr:rowOff>
    </xdr:from>
    <xdr:ext cx="46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37</xdr:row>
      <xdr:rowOff>0</xdr:rowOff>
    </xdr:from>
    <xdr:ext cx="50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zoomScale="90" zoomScaleNormal="90" workbookViewId="0">
      <selection activeCell="A8" sqref="A8:K8"/>
    </sheetView>
  </sheetViews>
  <sheetFormatPr defaultRowHeight="14.25" x14ac:dyDescent="0.2"/>
  <cols>
    <col min="1" max="1" width="8" customWidth="1"/>
    <col min="2" max="2" width="15.75" customWidth="1"/>
    <col min="3" max="3" width="11.625" customWidth="1"/>
    <col min="4" max="4" width="16.625" customWidth="1"/>
    <col min="5" max="5" width="16" customWidth="1"/>
    <col min="6" max="6" width="17" customWidth="1"/>
    <col min="7" max="7" width="15.5" customWidth="1"/>
    <col min="8" max="8" width="14.5" customWidth="1"/>
    <col min="9" max="9" width="16.625" customWidth="1"/>
    <col min="10" max="10" width="17.625" customWidth="1"/>
    <col min="11" max="11" width="19.375" customWidth="1"/>
  </cols>
  <sheetData>
    <row r="1" spans="1:11" ht="27.95" customHeight="1" x14ac:dyDescent="0.2">
      <c r="A1" s="5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8" customHeight="1" x14ac:dyDescent="0.2">
      <c r="A2" s="46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9.9499999999999993" customHeight="1" x14ac:dyDescent="0.2"/>
    <row r="4" spans="1:11" ht="18" customHeight="1" x14ac:dyDescent="0.2">
      <c r="A4" s="49" t="s">
        <v>2</v>
      </c>
      <c r="B4" s="50"/>
      <c r="C4" s="56" t="s">
        <v>3</v>
      </c>
      <c r="D4" s="57"/>
      <c r="E4" s="58" t="s">
        <v>4</v>
      </c>
      <c r="F4" s="59"/>
      <c r="G4" s="51" t="s">
        <v>5</v>
      </c>
      <c r="H4" s="52"/>
      <c r="I4" s="72" t="s">
        <v>6</v>
      </c>
      <c r="J4" s="56" t="s">
        <v>7</v>
      </c>
      <c r="K4" s="65"/>
    </row>
    <row r="5" spans="1:11" ht="24" customHeight="1" x14ac:dyDescent="0.2">
      <c r="A5" s="44" t="s">
        <v>8</v>
      </c>
      <c r="B5" s="45"/>
      <c r="C5" s="70" t="s">
        <v>9</v>
      </c>
      <c r="D5" s="73"/>
      <c r="E5" s="74" t="s">
        <v>10</v>
      </c>
      <c r="F5" s="75"/>
      <c r="G5" s="47" t="s">
        <v>11</v>
      </c>
      <c r="H5" s="48"/>
      <c r="I5" s="68" t="s">
        <v>12</v>
      </c>
      <c r="J5" s="70" t="s">
        <v>13</v>
      </c>
      <c r="K5" s="71"/>
    </row>
    <row r="6" spans="1:11" ht="15.95" customHeight="1" x14ac:dyDescent="0.2">
      <c r="A6" s="54" t="s">
        <v>14</v>
      </c>
      <c r="B6" s="55"/>
      <c r="C6" s="60" t="s">
        <v>15</v>
      </c>
      <c r="D6" s="69"/>
      <c r="E6" s="66" t="s">
        <v>16</v>
      </c>
      <c r="F6" s="67"/>
      <c r="G6" s="63" t="s">
        <v>17</v>
      </c>
      <c r="H6" s="64"/>
      <c r="I6" s="62" t="s">
        <v>18</v>
      </c>
      <c r="J6" s="60" t="s">
        <v>19</v>
      </c>
      <c r="K6" s="61"/>
    </row>
    <row r="7" spans="1:11" ht="12" customHeight="1" x14ac:dyDescent="0.2"/>
    <row r="8" spans="1:11" ht="24" customHeight="1" x14ac:dyDescent="0.2">
      <c r="A8" s="42" t="s">
        <v>20</v>
      </c>
      <c r="B8" s="43"/>
      <c r="C8" s="43"/>
      <c r="D8" s="43"/>
      <c r="E8" s="43"/>
      <c r="F8" s="43"/>
      <c r="G8" s="43"/>
      <c r="H8" s="43"/>
      <c r="I8" s="43"/>
      <c r="J8" s="43"/>
      <c r="K8" s="43"/>
    </row>
    <row r="9" spans="1:11" ht="30" customHeight="1" x14ac:dyDescent="0.2">
      <c r="A9" s="1" t="s">
        <v>21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27</v>
      </c>
      <c r="H9" s="1" t="s">
        <v>28</v>
      </c>
      <c r="I9" s="1" t="s">
        <v>29</v>
      </c>
      <c r="J9" s="1" t="s">
        <v>30</v>
      </c>
      <c r="K9" s="1" t="s">
        <v>31</v>
      </c>
    </row>
    <row r="10" spans="1:11" ht="20.100000000000001" customHeight="1" x14ac:dyDescent="0.2">
      <c r="A10" s="2">
        <v>1</v>
      </c>
      <c r="B10" s="3" t="s">
        <v>32</v>
      </c>
      <c r="C10" s="2" t="s">
        <v>33</v>
      </c>
      <c r="D10" s="4">
        <v>15342.1</v>
      </c>
      <c r="E10" s="5">
        <f t="shared" ref="E10:E15" si="0">D10/D$16</f>
        <v>0.36853205477740969</v>
      </c>
      <c r="F10" s="4">
        <v>5520.2000000000007</v>
      </c>
      <c r="G10" s="4">
        <v>10091.6</v>
      </c>
      <c r="H10" s="4">
        <v>1089.0999999999999</v>
      </c>
      <c r="I10" s="4">
        <v>1350.5</v>
      </c>
      <c r="J10" s="4">
        <v>18216.66</v>
      </c>
      <c r="K10" s="5">
        <f t="shared" ref="K10:K15" si="1">IF(D10&gt;0, F10/D10, 0)</f>
        <v>0.35980732754968359</v>
      </c>
    </row>
    <row r="11" spans="1:11" ht="20.100000000000001" customHeight="1" x14ac:dyDescent="0.2">
      <c r="A11" s="6">
        <v>2</v>
      </c>
      <c r="B11" s="7" t="s">
        <v>34</v>
      </c>
      <c r="C11" s="6" t="s">
        <v>33</v>
      </c>
      <c r="D11" s="8">
        <v>9346.2999999999993</v>
      </c>
      <c r="E11" s="9">
        <f t="shared" si="0"/>
        <v>0.22450714984038064</v>
      </c>
      <c r="F11" s="8">
        <v>3543.1</v>
      </c>
      <c r="G11" s="8">
        <v>5855.9000000000005</v>
      </c>
      <c r="H11" s="8">
        <v>529.4</v>
      </c>
      <c r="I11" s="8">
        <v>578.70000000000005</v>
      </c>
      <c r="J11" s="8">
        <v>11692.23</v>
      </c>
      <c r="K11" s="9">
        <f t="shared" si="1"/>
        <v>0.37909119116655793</v>
      </c>
    </row>
    <row r="12" spans="1:11" ht="20.100000000000001" customHeight="1" x14ac:dyDescent="0.2">
      <c r="A12" s="2">
        <v>3</v>
      </c>
      <c r="B12" s="3" t="s">
        <v>35</v>
      </c>
      <c r="C12" s="2" t="s">
        <v>36</v>
      </c>
      <c r="D12" s="4">
        <v>6108</v>
      </c>
      <c r="E12" s="5">
        <f t="shared" si="0"/>
        <v>0.14672005726598175</v>
      </c>
      <c r="F12" s="4">
        <v>2420</v>
      </c>
      <c r="G12" s="4">
        <v>3821.8</v>
      </c>
      <c r="H12" s="4">
        <v>791.19999999999993</v>
      </c>
      <c r="I12" s="4">
        <v>923.4</v>
      </c>
      <c r="J12" s="4">
        <v>0</v>
      </c>
      <c r="K12" s="5">
        <f t="shared" si="1"/>
        <v>0.39620170268500327</v>
      </c>
    </row>
    <row r="13" spans="1:11" ht="20.100000000000001" customHeight="1" x14ac:dyDescent="0.2">
      <c r="A13" s="6">
        <v>4</v>
      </c>
      <c r="B13" s="7" t="s">
        <v>37</v>
      </c>
      <c r="C13" s="6" t="s">
        <v>38</v>
      </c>
      <c r="D13" s="8">
        <v>187.4</v>
      </c>
      <c r="E13" s="9">
        <f t="shared" si="0"/>
        <v>4.501528934453991E-3</v>
      </c>
      <c r="F13" s="8">
        <v>74.5</v>
      </c>
      <c r="G13" s="8">
        <v>122.3</v>
      </c>
      <c r="H13" s="8">
        <v>2.6</v>
      </c>
      <c r="I13" s="8">
        <v>7.9</v>
      </c>
      <c r="J13" s="8">
        <v>245.85</v>
      </c>
      <c r="K13" s="9">
        <f t="shared" si="1"/>
        <v>0.39754535752401282</v>
      </c>
    </row>
    <row r="14" spans="1:11" ht="20.100000000000001" customHeight="1" x14ac:dyDescent="0.2">
      <c r="A14" s="2">
        <v>5</v>
      </c>
      <c r="B14" s="3" t="s">
        <v>39</v>
      </c>
      <c r="C14" s="2" t="s">
        <v>33</v>
      </c>
      <c r="D14" s="4">
        <v>6652.3</v>
      </c>
      <c r="E14" s="5">
        <f t="shared" si="0"/>
        <v>0.15979466878691723</v>
      </c>
      <c r="F14" s="4">
        <v>2413.9</v>
      </c>
      <c r="G14" s="4">
        <v>4291.8</v>
      </c>
      <c r="H14" s="4">
        <v>309.3</v>
      </c>
      <c r="I14" s="4">
        <v>347.9</v>
      </c>
      <c r="J14" s="4">
        <v>7965.869999999999</v>
      </c>
      <c r="K14" s="5">
        <f t="shared" si="1"/>
        <v>0.3628669783383191</v>
      </c>
    </row>
    <row r="15" spans="1:11" ht="20.100000000000001" customHeight="1" x14ac:dyDescent="0.2">
      <c r="A15" s="6">
        <v>6</v>
      </c>
      <c r="B15" s="7" t="s">
        <v>40</v>
      </c>
      <c r="C15" s="6" t="s">
        <v>41</v>
      </c>
      <c r="D15" s="8">
        <v>3994.2</v>
      </c>
      <c r="E15" s="9">
        <f t="shared" si="0"/>
        <v>9.5944540394856614E-2</v>
      </c>
      <c r="F15" s="8">
        <v>3994.2</v>
      </c>
      <c r="G15" s="8">
        <v>0</v>
      </c>
      <c r="H15" s="8">
        <v>0</v>
      </c>
      <c r="I15" s="8">
        <v>0</v>
      </c>
      <c r="J15" s="8">
        <v>19235.66</v>
      </c>
      <c r="K15" s="9">
        <f t="shared" si="1"/>
        <v>1</v>
      </c>
    </row>
    <row r="16" spans="1:11" ht="21.95" customHeight="1" x14ac:dyDescent="0.2">
      <c r="A16" s="10" t="s">
        <v>42</v>
      </c>
      <c r="B16" s="11" t="s">
        <v>43</v>
      </c>
      <c r="C16" s="10" t="s">
        <v>44</v>
      </c>
      <c r="D16" s="12">
        <f t="shared" ref="D16:J16" si="2">SUM(D10:D15)</f>
        <v>41630.300000000003</v>
      </c>
      <c r="E16" s="13">
        <f t="shared" si="2"/>
        <v>1</v>
      </c>
      <c r="F16" s="12">
        <f t="shared" si="2"/>
        <v>17965.900000000001</v>
      </c>
      <c r="G16" s="12">
        <f t="shared" si="2"/>
        <v>24183.399999999998</v>
      </c>
      <c r="H16" s="12">
        <f t="shared" si="2"/>
        <v>2721.6</v>
      </c>
      <c r="I16" s="12">
        <f t="shared" si="2"/>
        <v>3208.4</v>
      </c>
      <c r="J16" s="12">
        <f t="shared" si="2"/>
        <v>57356.270000000004</v>
      </c>
      <c r="K16" s="13">
        <f>F16/D16</f>
        <v>0.43155826405286535</v>
      </c>
    </row>
    <row r="17" spans="1:11" ht="12" customHeight="1" x14ac:dyDescent="0.2"/>
    <row r="18" spans="1:11" ht="24" customHeight="1" x14ac:dyDescent="0.2">
      <c r="A18" s="42" t="s">
        <v>45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</row>
    <row r="19" spans="1:11" ht="30" customHeight="1" x14ac:dyDescent="0.2">
      <c r="A19" s="1" t="s">
        <v>21</v>
      </c>
      <c r="B19" s="1" t="s">
        <v>46</v>
      </c>
      <c r="C19" s="1" t="s">
        <v>47</v>
      </c>
      <c r="D19" s="1" t="s">
        <v>24</v>
      </c>
      <c r="E19" s="1" t="s">
        <v>25</v>
      </c>
      <c r="F19" s="1" t="s">
        <v>26</v>
      </c>
      <c r="G19" s="1" t="s">
        <v>27</v>
      </c>
      <c r="H19" s="1" t="s">
        <v>28</v>
      </c>
      <c r="I19" s="1" t="s">
        <v>29</v>
      </c>
      <c r="J19" s="1" t="s">
        <v>30</v>
      </c>
      <c r="K19" s="1" t="s">
        <v>31</v>
      </c>
    </row>
    <row r="20" spans="1:11" ht="20.100000000000001" customHeight="1" x14ac:dyDescent="0.2">
      <c r="A20" s="2">
        <v>1</v>
      </c>
      <c r="B20" s="2" t="s">
        <v>48</v>
      </c>
      <c r="C20" s="3" t="s">
        <v>49</v>
      </c>
      <c r="D20" s="4">
        <v>3949.2</v>
      </c>
      <c r="E20" s="5">
        <f t="shared" ref="E20:E28" si="3">D20/D$29</f>
        <v>9.4863596947415696E-2</v>
      </c>
      <c r="F20" s="4">
        <v>2012.2</v>
      </c>
      <c r="G20" s="4">
        <v>1990.8</v>
      </c>
      <c r="H20" s="4">
        <v>300.8</v>
      </c>
      <c r="I20" s="4">
        <v>352.4</v>
      </c>
      <c r="J20" s="4">
        <v>6991.95</v>
      </c>
      <c r="K20" s="5">
        <f t="shared" ref="K20:K28" si="4">IF(D20&gt;0, F20/D20, 0)</f>
        <v>0.50952091562848179</v>
      </c>
    </row>
    <row r="21" spans="1:11" ht="20.100000000000001" customHeight="1" x14ac:dyDescent="0.2">
      <c r="A21" s="6">
        <v>2</v>
      </c>
      <c r="B21" s="6" t="s">
        <v>50</v>
      </c>
      <c r="C21" s="7" t="s">
        <v>51</v>
      </c>
      <c r="D21" s="8">
        <v>4381.6000000000004</v>
      </c>
      <c r="E21" s="9">
        <f t="shared" si="3"/>
        <v>0.10525026242904807</v>
      </c>
      <c r="F21" s="8">
        <v>1947.9</v>
      </c>
      <c r="G21" s="8">
        <v>2488.6999999999998</v>
      </c>
      <c r="H21" s="8">
        <v>248.3</v>
      </c>
      <c r="I21" s="8">
        <v>301.7</v>
      </c>
      <c r="J21" s="8">
        <v>7056.7099999999991</v>
      </c>
      <c r="K21" s="9">
        <f t="shared" si="4"/>
        <v>0.44456362972430163</v>
      </c>
    </row>
    <row r="22" spans="1:11" ht="20.100000000000001" customHeight="1" x14ac:dyDescent="0.2">
      <c r="A22" s="2">
        <v>3</v>
      </c>
      <c r="B22" s="2" t="s">
        <v>52</v>
      </c>
      <c r="C22" s="3" t="s">
        <v>53</v>
      </c>
      <c r="D22" s="4">
        <v>5492.4000000000005</v>
      </c>
      <c r="E22" s="5">
        <f t="shared" si="3"/>
        <v>0.13193275090498988</v>
      </c>
      <c r="F22" s="4">
        <v>2309.5</v>
      </c>
      <c r="G22" s="4">
        <v>3253.2</v>
      </c>
      <c r="H22" s="4">
        <v>228.3</v>
      </c>
      <c r="I22" s="4">
        <v>295</v>
      </c>
      <c r="J22" s="4">
        <v>8144.84</v>
      </c>
      <c r="K22" s="5">
        <f t="shared" si="4"/>
        <v>0.4204901318185128</v>
      </c>
    </row>
    <row r="23" spans="1:11" ht="20.100000000000001" customHeight="1" x14ac:dyDescent="0.2">
      <c r="A23" s="6">
        <v>4</v>
      </c>
      <c r="B23" s="6" t="s">
        <v>54</v>
      </c>
      <c r="C23" s="7" t="s">
        <v>55</v>
      </c>
      <c r="D23" s="8">
        <v>8457</v>
      </c>
      <c r="E23" s="9">
        <f t="shared" si="3"/>
        <v>0.2031453052223981</v>
      </c>
      <c r="F23" s="8">
        <v>2902.9</v>
      </c>
      <c r="G23" s="8">
        <v>5578.5</v>
      </c>
      <c r="H23" s="8">
        <v>184.8</v>
      </c>
      <c r="I23" s="8">
        <v>207</v>
      </c>
      <c r="J23" s="8">
        <v>9126.64</v>
      </c>
      <c r="K23" s="9">
        <f t="shared" si="4"/>
        <v>0.3432541090221119</v>
      </c>
    </row>
    <row r="24" spans="1:11" ht="20.100000000000001" customHeight="1" x14ac:dyDescent="0.2">
      <c r="A24" s="2">
        <v>5</v>
      </c>
      <c r="B24" s="2" t="s">
        <v>56</v>
      </c>
      <c r="C24" s="3" t="s">
        <v>57</v>
      </c>
      <c r="D24" s="4">
        <v>8280.2999999999993</v>
      </c>
      <c r="E24" s="5">
        <f t="shared" si="3"/>
        <v>0.19890080061878004</v>
      </c>
      <c r="F24" s="4">
        <v>2789.7</v>
      </c>
      <c r="G24" s="4">
        <v>5572.3</v>
      </c>
      <c r="H24" s="4">
        <v>344.1</v>
      </c>
      <c r="I24" s="4">
        <v>421.9</v>
      </c>
      <c r="J24" s="4">
        <v>8528.11</v>
      </c>
      <c r="K24" s="5">
        <f t="shared" si="4"/>
        <v>0.33690808304046954</v>
      </c>
    </row>
    <row r="25" spans="1:11" ht="20.100000000000001" customHeight="1" x14ac:dyDescent="0.2">
      <c r="A25" s="6">
        <v>6</v>
      </c>
      <c r="B25" s="6" t="s">
        <v>58</v>
      </c>
      <c r="C25" s="7" t="s">
        <v>59</v>
      </c>
      <c r="D25" s="8">
        <v>3914.1</v>
      </c>
      <c r="E25" s="9">
        <f t="shared" si="3"/>
        <v>9.4020461058411775E-2</v>
      </c>
      <c r="F25" s="8">
        <v>2202.9</v>
      </c>
      <c r="G25" s="8">
        <v>1809.7</v>
      </c>
      <c r="H25" s="8">
        <v>477.6</v>
      </c>
      <c r="I25" s="8">
        <v>570.9</v>
      </c>
      <c r="J25" s="8">
        <v>6349.31</v>
      </c>
      <c r="K25" s="9">
        <f t="shared" si="4"/>
        <v>0.56281137426228256</v>
      </c>
    </row>
    <row r="26" spans="1:11" ht="20.100000000000001" customHeight="1" x14ac:dyDescent="0.2">
      <c r="A26" s="2">
        <v>7</v>
      </c>
      <c r="B26" s="2" t="s">
        <v>60</v>
      </c>
      <c r="C26" s="3" t="s">
        <v>61</v>
      </c>
      <c r="D26" s="4">
        <v>4098.8</v>
      </c>
      <c r="E26" s="5">
        <f t="shared" si="3"/>
        <v>9.8457133386019316E-2</v>
      </c>
      <c r="F26" s="4">
        <v>2001.1</v>
      </c>
      <c r="G26" s="4">
        <v>2131.6999999999998</v>
      </c>
      <c r="H26" s="4">
        <v>480.7</v>
      </c>
      <c r="I26" s="4">
        <v>509.8</v>
      </c>
      <c r="J26" s="4">
        <v>5989.48</v>
      </c>
      <c r="K26" s="5">
        <f t="shared" si="4"/>
        <v>0.48821606323802086</v>
      </c>
    </row>
    <row r="27" spans="1:11" ht="20.100000000000001" customHeight="1" x14ac:dyDescent="0.2">
      <c r="A27" s="6">
        <v>8</v>
      </c>
      <c r="B27" s="6" t="s">
        <v>62</v>
      </c>
      <c r="C27" s="7" t="s">
        <v>63</v>
      </c>
      <c r="D27" s="8">
        <v>2785.8</v>
      </c>
      <c r="E27" s="9">
        <f t="shared" si="3"/>
        <v>6.6917605686242956E-2</v>
      </c>
      <c r="F27" s="8">
        <v>1662.7</v>
      </c>
      <c r="G27" s="8">
        <v>1202.4000000000001</v>
      </c>
      <c r="H27" s="8">
        <v>428</v>
      </c>
      <c r="I27" s="8">
        <v>502.1</v>
      </c>
      <c r="J27" s="8">
        <v>4796</v>
      </c>
      <c r="K27" s="9">
        <f t="shared" si="4"/>
        <v>0.59684830210352502</v>
      </c>
    </row>
    <row r="28" spans="1:11" ht="20.100000000000001" customHeight="1" x14ac:dyDescent="0.2">
      <c r="A28" s="2">
        <v>9</v>
      </c>
      <c r="B28" s="2" t="s">
        <v>64</v>
      </c>
      <c r="C28" s="3" t="s">
        <v>65</v>
      </c>
      <c r="D28" s="4">
        <v>271.10000000000002</v>
      </c>
      <c r="E28" s="5">
        <f t="shared" si="3"/>
        <v>6.5120837466941146E-3</v>
      </c>
      <c r="F28" s="4">
        <v>137</v>
      </c>
      <c r="G28" s="4">
        <v>156.1</v>
      </c>
      <c r="H28" s="4">
        <v>29</v>
      </c>
      <c r="I28" s="4">
        <v>47.600000000000009</v>
      </c>
      <c r="J28" s="4">
        <v>373.23</v>
      </c>
      <c r="K28" s="5">
        <f t="shared" si="4"/>
        <v>0.50534857985983028</v>
      </c>
    </row>
    <row r="29" spans="1:11" ht="21.95" customHeight="1" x14ac:dyDescent="0.2">
      <c r="A29" s="10" t="s">
        <v>42</v>
      </c>
      <c r="B29" s="10" t="s">
        <v>66</v>
      </c>
      <c r="C29" s="11" t="s">
        <v>67</v>
      </c>
      <c r="D29" s="12">
        <f t="shared" ref="D29:J29" si="5">SUM(D20:D28)</f>
        <v>41630.300000000003</v>
      </c>
      <c r="E29" s="13">
        <f t="shared" si="5"/>
        <v>1</v>
      </c>
      <c r="F29" s="12">
        <f t="shared" si="5"/>
        <v>17965.900000000001</v>
      </c>
      <c r="G29" s="12">
        <f t="shared" si="5"/>
        <v>24183.4</v>
      </c>
      <c r="H29" s="12">
        <f t="shared" si="5"/>
        <v>2721.6</v>
      </c>
      <c r="I29" s="12">
        <f t="shared" si="5"/>
        <v>3208.4</v>
      </c>
      <c r="J29" s="12">
        <f t="shared" si="5"/>
        <v>57356.27</v>
      </c>
      <c r="K29" s="13">
        <f>F29/D29</f>
        <v>0.43155826405286535</v>
      </c>
    </row>
    <row r="30" spans="1:11" ht="20.100000000000001" customHeight="1" x14ac:dyDescent="0.2">
      <c r="A30" s="14" t="s">
        <v>42</v>
      </c>
      <c r="B30" s="14" t="s">
        <v>68</v>
      </c>
      <c r="C30" s="15" t="s">
        <v>69</v>
      </c>
      <c r="D30" s="16">
        <f>AVERAGE(D20:D27)</f>
        <v>5169.9000000000005</v>
      </c>
      <c r="E30" s="14" t="s">
        <v>42</v>
      </c>
      <c r="F30" s="16">
        <f>AVERAGE(F20:F27)</f>
        <v>2228.6125000000002</v>
      </c>
      <c r="G30" s="16">
        <f>AVERAGE(G20:G27)</f>
        <v>3003.4125000000004</v>
      </c>
      <c r="H30" s="16">
        <f>AVERAGE(H20:H27)</f>
        <v>336.57499999999999</v>
      </c>
      <c r="I30" s="16">
        <f>AVERAGE(I20:I27)</f>
        <v>395.1</v>
      </c>
      <c r="J30" s="16">
        <f>AVERAGE(J20:J27)</f>
        <v>7122.8799999999992</v>
      </c>
      <c r="K30" s="17">
        <f>F30/D30</f>
        <v>0.43107458558192613</v>
      </c>
    </row>
    <row r="31" spans="1:11" x14ac:dyDescent="0.2">
      <c r="A31" s="18" t="s">
        <v>70</v>
      </c>
    </row>
  </sheetData>
  <mergeCells count="22">
    <mergeCell ref="A1:K1"/>
    <mergeCell ref="A6:B6"/>
    <mergeCell ref="C4:D4"/>
    <mergeCell ref="E4:F4"/>
    <mergeCell ref="J6:K6"/>
    <mergeCell ref="I6"/>
    <mergeCell ref="G6:H6"/>
    <mergeCell ref="J4:K4"/>
    <mergeCell ref="E6:F6"/>
    <mergeCell ref="I5"/>
    <mergeCell ref="C6:D6"/>
    <mergeCell ref="J5:K5"/>
    <mergeCell ref="I4"/>
    <mergeCell ref="C5:D5"/>
    <mergeCell ref="E5:F5"/>
    <mergeCell ref="A18:K18"/>
    <mergeCell ref="A5:B5"/>
    <mergeCell ref="A2:K2"/>
    <mergeCell ref="G5:H5"/>
    <mergeCell ref="A8:K8"/>
    <mergeCell ref="A4:B4"/>
    <mergeCell ref="G4:H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zoomScale="85" zoomScaleNormal="85" workbookViewId="0">
      <selection activeCell="L5" sqref="L5"/>
    </sheetView>
  </sheetViews>
  <sheetFormatPr defaultRowHeight="14.25" x14ac:dyDescent="0.2"/>
  <cols>
    <col min="1" max="1" width="12" customWidth="1"/>
    <col min="2" max="2" width="13.25" customWidth="1"/>
    <col min="3" max="3" width="12.625" customWidth="1"/>
    <col min="4" max="4" width="15.5" customWidth="1"/>
    <col min="5" max="5" width="14.75" customWidth="1"/>
    <col min="6" max="6" width="13.25" customWidth="1"/>
    <col min="7" max="7" width="14" customWidth="1"/>
    <col min="8" max="8" width="15.625" customWidth="1"/>
    <col min="9" max="9" width="26.875" customWidth="1"/>
    <col min="10" max="10" width="14.75" customWidth="1"/>
  </cols>
  <sheetData>
    <row r="1" spans="1:10" ht="27.95" customHeight="1" x14ac:dyDescent="0.2">
      <c r="A1" s="53" t="s">
        <v>71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18" customHeight="1" x14ac:dyDescent="0.2">
      <c r="A2" s="46" t="s">
        <v>72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ht="9.9499999999999993" customHeight="1" x14ac:dyDescent="0.2"/>
    <row r="4" spans="1:10" ht="18" customHeight="1" x14ac:dyDescent="0.2">
      <c r="A4" s="84" t="s">
        <v>73</v>
      </c>
      <c r="B4" s="79"/>
      <c r="C4" s="86" t="s">
        <v>74</v>
      </c>
      <c r="D4" s="83"/>
      <c r="E4" s="90" t="s">
        <v>75</v>
      </c>
      <c r="F4" s="77"/>
      <c r="G4" s="85" t="s">
        <v>76</v>
      </c>
      <c r="H4" s="81"/>
      <c r="I4" s="86" t="s">
        <v>77</v>
      </c>
      <c r="J4" s="83"/>
    </row>
    <row r="5" spans="1:10" ht="24" customHeight="1" x14ac:dyDescent="0.2">
      <c r="A5" s="78" t="s">
        <v>78</v>
      </c>
      <c r="B5" s="79"/>
      <c r="C5" s="82" t="s">
        <v>12</v>
      </c>
      <c r="D5" s="83"/>
      <c r="E5" s="98" t="s">
        <v>79</v>
      </c>
      <c r="F5" s="77"/>
      <c r="G5" s="80" t="s">
        <v>80</v>
      </c>
      <c r="H5" s="81"/>
      <c r="I5" s="82" t="s">
        <v>81</v>
      </c>
      <c r="J5" s="83"/>
    </row>
    <row r="6" spans="1:10" ht="15.95" customHeight="1" x14ac:dyDescent="0.2">
      <c r="A6" s="99" t="s">
        <v>82</v>
      </c>
      <c r="B6" s="79"/>
      <c r="C6" s="97" t="s">
        <v>18</v>
      </c>
      <c r="D6" s="83"/>
      <c r="E6" s="76" t="s">
        <v>83</v>
      </c>
      <c r="F6" s="77"/>
      <c r="G6" s="93" t="s">
        <v>84</v>
      </c>
      <c r="H6" s="81"/>
      <c r="I6" s="97" t="s">
        <v>85</v>
      </c>
      <c r="J6" s="83"/>
    </row>
    <row r="7" spans="1:10" ht="12" customHeight="1" x14ac:dyDescent="0.2"/>
    <row r="8" spans="1:10" ht="24" customHeight="1" x14ac:dyDescent="0.2">
      <c r="A8" s="42" t="s">
        <v>86</v>
      </c>
      <c r="B8" s="43"/>
      <c r="C8" s="43"/>
      <c r="D8" s="43"/>
      <c r="E8" s="43"/>
      <c r="F8" s="43"/>
      <c r="G8" s="43"/>
      <c r="H8" s="43"/>
      <c r="I8" s="43"/>
      <c r="J8" s="43"/>
    </row>
    <row r="9" spans="1:10" ht="27.95" customHeight="1" x14ac:dyDescent="0.2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</row>
    <row r="10" spans="1:10" ht="20.100000000000001" customHeight="1" x14ac:dyDescent="0.2">
      <c r="A10" s="91" t="s">
        <v>97</v>
      </c>
      <c r="B10" s="3" t="s">
        <v>98</v>
      </c>
      <c r="C10" s="4">
        <v>2566</v>
      </c>
      <c r="D10" s="19">
        <v>13</v>
      </c>
      <c r="E10" s="20">
        <f t="shared" ref="E10:E22" si="0">C10/D10</f>
        <v>197.38461538461539</v>
      </c>
      <c r="F10" s="4">
        <v>250</v>
      </c>
      <c r="G10" s="21" t="str">
        <f t="shared" ref="G10:G22" si="1">IF(E10&lt;=F10,"ผ่าน","เกิน")</f>
        <v>ผ่าน</v>
      </c>
      <c r="H10" s="22">
        <f t="shared" ref="H10:H22" si="2">E10-F10</f>
        <v>-52.615384615384613</v>
      </c>
      <c r="I10" s="23"/>
      <c r="J10" s="2">
        <v>250</v>
      </c>
    </row>
    <row r="11" spans="1:10" ht="20.100000000000001" customHeight="1" x14ac:dyDescent="0.2">
      <c r="A11" s="88"/>
      <c r="B11" s="3" t="s">
        <v>99</v>
      </c>
      <c r="C11" s="4">
        <v>3591</v>
      </c>
      <c r="D11" s="19">
        <v>26</v>
      </c>
      <c r="E11" s="20">
        <f t="shared" si="0"/>
        <v>138.11538461538461</v>
      </c>
      <c r="F11" s="4">
        <v>250</v>
      </c>
      <c r="G11" s="21" t="str">
        <f t="shared" si="1"/>
        <v>ผ่าน</v>
      </c>
      <c r="H11" s="22">
        <f t="shared" si="2"/>
        <v>-111.88461538461539</v>
      </c>
      <c r="I11" s="23"/>
      <c r="J11" s="2">
        <v>250</v>
      </c>
    </row>
    <row r="12" spans="1:10" ht="20.100000000000001" customHeight="1" x14ac:dyDescent="0.2">
      <c r="A12" s="89"/>
      <c r="B12" s="3" t="s">
        <v>100</v>
      </c>
      <c r="C12" s="4">
        <v>5136</v>
      </c>
      <c r="D12" s="19">
        <v>28</v>
      </c>
      <c r="E12" s="20">
        <f t="shared" si="0"/>
        <v>183.42857142857142</v>
      </c>
      <c r="F12" s="4">
        <v>250</v>
      </c>
      <c r="G12" s="21" t="str">
        <f t="shared" si="1"/>
        <v>ผ่าน</v>
      </c>
      <c r="H12" s="22">
        <f t="shared" si="2"/>
        <v>-66.571428571428584</v>
      </c>
      <c r="I12" s="23"/>
      <c r="J12" s="2">
        <v>250</v>
      </c>
    </row>
    <row r="13" spans="1:10" ht="20.100000000000001" customHeight="1" x14ac:dyDescent="0.2">
      <c r="A13" s="87" t="s">
        <v>101</v>
      </c>
      <c r="B13" s="3" t="s">
        <v>98</v>
      </c>
      <c r="C13" s="4">
        <v>3217.97</v>
      </c>
      <c r="D13" s="19">
        <v>6</v>
      </c>
      <c r="E13" s="20">
        <f t="shared" si="0"/>
        <v>536.32833333333326</v>
      </c>
      <c r="F13" s="4">
        <v>250</v>
      </c>
      <c r="G13" s="24" t="str">
        <f t="shared" si="1"/>
        <v>เกิน</v>
      </c>
      <c r="H13" s="25">
        <f t="shared" si="2"/>
        <v>286.32833333333326</v>
      </c>
      <c r="I13" s="23"/>
      <c r="J13" s="2">
        <v>250</v>
      </c>
    </row>
    <row r="14" spans="1:10" ht="20.100000000000001" customHeight="1" x14ac:dyDescent="0.2">
      <c r="A14" s="88"/>
      <c r="B14" s="3" t="s">
        <v>99</v>
      </c>
      <c r="C14" s="4">
        <v>5544.32</v>
      </c>
      <c r="D14" s="19">
        <v>9</v>
      </c>
      <c r="E14" s="20">
        <f t="shared" si="0"/>
        <v>616.03555555555556</v>
      </c>
      <c r="F14" s="4">
        <v>250</v>
      </c>
      <c r="G14" s="24" t="str">
        <f t="shared" si="1"/>
        <v>เกิน</v>
      </c>
      <c r="H14" s="25">
        <f t="shared" si="2"/>
        <v>366.03555555555556</v>
      </c>
      <c r="I14" s="23"/>
      <c r="J14" s="2">
        <v>250</v>
      </c>
    </row>
    <row r="15" spans="1:10" ht="20.100000000000001" customHeight="1" x14ac:dyDescent="0.2">
      <c r="A15" s="89"/>
      <c r="B15" s="3" t="s">
        <v>100</v>
      </c>
      <c r="C15" s="4">
        <v>4894.32</v>
      </c>
      <c r="D15" s="19">
        <v>11</v>
      </c>
      <c r="E15" s="20">
        <f t="shared" si="0"/>
        <v>444.93818181818182</v>
      </c>
      <c r="F15" s="4">
        <v>250</v>
      </c>
      <c r="G15" s="24" t="str">
        <f t="shared" si="1"/>
        <v>เกิน</v>
      </c>
      <c r="H15" s="25">
        <f t="shared" si="2"/>
        <v>194.93818181818182</v>
      </c>
      <c r="I15" s="23"/>
      <c r="J15" s="2">
        <v>250</v>
      </c>
    </row>
    <row r="16" spans="1:10" ht="20.100000000000001" customHeight="1" x14ac:dyDescent="0.2">
      <c r="A16" s="96" t="s">
        <v>102</v>
      </c>
      <c r="B16" s="3" t="s">
        <v>98</v>
      </c>
      <c r="C16" s="4">
        <v>2928.58</v>
      </c>
      <c r="D16" s="19">
        <v>7</v>
      </c>
      <c r="E16" s="20">
        <f t="shared" si="0"/>
        <v>418.36857142857144</v>
      </c>
      <c r="F16" s="4">
        <v>250</v>
      </c>
      <c r="G16" s="24" t="str">
        <f t="shared" si="1"/>
        <v>เกิน</v>
      </c>
      <c r="H16" s="25">
        <f t="shared" si="2"/>
        <v>168.36857142857144</v>
      </c>
      <c r="I16" s="23"/>
      <c r="J16" s="2">
        <v>250</v>
      </c>
    </row>
    <row r="17" spans="1:10" ht="20.100000000000001" customHeight="1" x14ac:dyDescent="0.2">
      <c r="A17" s="88"/>
      <c r="B17" s="3" t="s">
        <v>99</v>
      </c>
      <c r="C17" s="4">
        <v>3436.11</v>
      </c>
      <c r="D17" s="19">
        <v>15</v>
      </c>
      <c r="E17" s="20">
        <f t="shared" si="0"/>
        <v>229.07400000000001</v>
      </c>
      <c r="F17" s="4">
        <v>250</v>
      </c>
      <c r="G17" s="21" t="str">
        <f t="shared" si="1"/>
        <v>ผ่าน</v>
      </c>
      <c r="H17" s="22">
        <f t="shared" si="2"/>
        <v>-20.925999999999988</v>
      </c>
      <c r="I17" s="23"/>
      <c r="J17" s="2">
        <v>250</v>
      </c>
    </row>
    <row r="18" spans="1:10" ht="20.100000000000001" customHeight="1" x14ac:dyDescent="0.2">
      <c r="A18" s="89"/>
      <c r="B18" s="3" t="s">
        <v>100</v>
      </c>
      <c r="C18" s="4">
        <v>2148.9499999999998</v>
      </c>
      <c r="D18" s="19">
        <v>7</v>
      </c>
      <c r="E18" s="20">
        <f t="shared" si="0"/>
        <v>306.99285714285713</v>
      </c>
      <c r="F18" s="4">
        <v>250</v>
      </c>
      <c r="G18" s="24" t="str">
        <f t="shared" si="1"/>
        <v>เกิน</v>
      </c>
      <c r="H18" s="25">
        <f t="shared" si="2"/>
        <v>56.992857142857133</v>
      </c>
      <c r="I18" s="23"/>
      <c r="J18" s="2">
        <v>250</v>
      </c>
    </row>
    <row r="19" spans="1:10" ht="20.100000000000001" customHeight="1" x14ac:dyDescent="0.2">
      <c r="A19" s="92" t="s">
        <v>103</v>
      </c>
      <c r="B19" s="3" t="s">
        <v>98</v>
      </c>
      <c r="C19" s="4">
        <v>3016.88</v>
      </c>
      <c r="D19" s="19">
        <v>5</v>
      </c>
      <c r="E19" s="20">
        <f t="shared" si="0"/>
        <v>603.37599999999998</v>
      </c>
      <c r="F19" s="4">
        <v>250</v>
      </c>
      <c r="G19" s="24" t="str">
        <f t="shared" si="1"/>
        <v>เกิน</v>
      </c>
      <c r="H19" s="25">
        <f t="shared" si="2"/>
        <v>353.37599999999998</v>
      </c>
      <c r="I19" s="23" t="s">
        <v>104</v>
      </c>
      <c r="J19" s="2">
        <v>250</v>
      </c>
    </row>
    <row r="20" spans="1:10" ht="20.100000000000001" customHeight="1" x14ac:dyDescent="0.2">
      <c r="A20" s="88"/>
      <c r="B20" s="3" t="s">
        <v>99</v>
      </c>
      <c r="C20" s="4">
        <v>4084.64</v>
      </c>
      <c r="D20" s="19">
        <v>8</v>
      </c>
      <c r="E20" s="20">
        <f t="shared" si="0"/>
        <v>510.58</v>
      </c>
      <c r="F20" s="4">
        <v>250</v>
      </c>
      <c r="G20" s="24" t="str">
        <f t="shared" si="1"/>
        <v>เกิน</v>
      </c>
      <c r="H20" s="25">
        <f t="shared" si="2"/>
        <v>260.58</v>
      </c>
      <c r="I20" s="23" t="s">
        <v>104</v>
      </c>
      <c r="J20" s="2">
        <v>250</v>
      </c>
    </row>
    <row r="21" spans="1:10" ht="20.100000000000001" customHeight="1" x14ac:dyDescent="0.2">
      <c r="A21" s="89"/>
      <c r="B21" s="3" t="s">
        <v>100</v>
      </c>
      <c r="C21" s="4">
        <v>4540.07</v>
      </c>
      <c r="D21" s="19">
        <v>6</v>
      </c>
      <c r="E21" s="20">
        <f t="shared" si="0"/>
        <v>756.67833333333328</v>
      </c>
      <c r="F21" s="4">
        <v>250</v>
      </c>
      <c r="G21" s="24" t="str">
        <f t="shared" si="1"/>
        <v>เกิน</v>
      </c>
      <c r="H21" s="25">
        <f t="shared" si="2"/>
        <v>506.67833333333328</v>
      </c>
      <c r="I21" s="23" t="s">
        <v>104</v>
      </c>
      <c r="J21" s="2">
        <v>250</v>
      </c>
    </row>
    <row r="22" spans="1:10" ht="21.95" customHeight="1" x14ac:dyDescent="0.25">
      <c r="A22" s="94" t="s">
        <v>105</v>
      </c>
      <c r="B22" s="95"/>
      <c r="C22" s="12">
        <f>SUM(C10:C21)</f>
        <v>45104.84</v>
      </c>
      <c r="D22" s="26">
        <f>SUM(D10:D21)</f>
        <v>141</v>
      </c>
      <c r="E22" s="12">
        <f t="shared" si="0"/>
        <v>319.89248226950355</v>
      </c>
      <c r="F22" s="12">
        <v>250</v>
      </c>
      <c r="G22" s="10" t="str">
        <f t="shared" si="1"/>
        <v>เกิน</v>
      </c>
      <c r="H22" s="27">
        <f t="shared" si="2"/>
        <v>69.892482269503546</v>
      </c>
      <c r="I22" s="11" t="s">
        <v>106</v>
      </c>
      <c r="J22" s="10">
        <v>250</v>
      </c>
    </row>
    <row r="24" spans="1:10" ht="24" customHeight="1" x14ac:dyDescent="0.2">
      <c r="A24" s="42" t="s">
        <v>107</v>
      </c>
      <c r="B24" s="43"/>
      <c r="C24" s="43"/>
      <c r="D24" s="43"/>
      <c r="E24" s="43"/>
      <c r="F24" s="43"/>
      <c r="G24" s="43"/>
      <c r="H24" s="43"/>
      <c r="I24" s="43"/>
      <c r="J24" s="43"/>
    </row>
    <row r="25" spans="1:10" ht="26.1" customHeight="1" x14ac:dyDescent="0.2">
      <c r="A25" s="28" t="s">
        <v>21</v>
      </c>
      <c r="B25" s="28" t="s">
        <v>87</v>
      </c>
      <c r="C25" s="28" t="s">
        <v>108</v>
      </c>
      <c r="D25" s="28" t="s">
        <v>109</v>
      </c>
      <c r="E25" s="28" t="s">
        <v>110</v>
      </c>
      <c r="F25" s="28" t="s">
        <v>111</v>
      </c>
      <c r="G25" s="28" t="s">
        <v>112</v>
      </c>
      <c r="H25" s="28" t="s">
        <v>113</v>
      </c>
      <c r="I25" s="28" t="s">
        <v>114</v>
      </c>
      <c r="J25" s="28" t="s">
        <v>115</v>
      </c>
    </row>
    <row r="26" spans="1:10" ht="20.100000000000001" customHeight="1" x14ac:dyDescent="0.2">
      <c r="A26" s="2">
        <v>1</v>
      </c>
      <c r="B26" s="29" t="s">
        <v>97</v>
      </c>
      <c r="C26" s="4">
        <f>SUM(C10:C12)</f>
        <v>11293</v>
      </c>
      <c r="D26" s="19">
        <f>SUM(D10:D12)</f>
        <v>67</v>
      </c>
      <c r="E26" s="20">
        <f>C26/D26</f>
        <v>168.55223880597015</v>
      </c>
      <c r="F26" s="4">
        <v>250</v>
      </c>
      <c r="G26" s="21" t="str">
        <f>IF(E26&lt;=F26,"ผ่าน","เกิน")</f>
        <v>ผ่าน</v>
      </c>
      <c r="H26" s="22">
        <f>E26-F26</f>
        <v>-81.447761194029852</v>
      </c>
      <c r="I26" s="2" t="s">
        <v>116</v>
      </c>
      <c r="J26" s="3" t="s">
        <v>117</v>
      </c>
    </row>
    <row r="27" spans="1:10" ht="20.100000000000001" customHeight="1" x14ac:dyDescent="0.2">
      <c r="A27" s="6">
        <v>2</v>
      </c>
      <c r="B27" s="30" t="s">
        <v>101</v>
      </c>
      <c r="C27" s="8">
        <f>SUM(C13:C15)</f>
        <v>13656.609999999999</v>
      </c>
      <c r="D27" s="31">
        <f>SUM(D13:D15)</f>
        <v>26</v>
      </c>
      <c r="E27" s="32">
        <f>C27/D27</f>
        <v>525.25423076923073</v>
      </c>
      <c r="F27" s="8">
        <v>250</v>
      </c>
      <c r="G27" s="24" t="str">
        <f>IF(E27&lt;=F27,"ผ่าน","เกิน")</f>
        <v>เกิน</v>
      </c>
      <c r="H27" s="33">
        <f>E27-F27</f>
        <v>275.25423076923073</v>
      </c>
      <c r="I27" s="6" t="s">
        <v>118</v>
      </c>
      <c r="J27" s="7" t="s">
        <v>119</v>
      </c>
    </row>
    <row r="28" spans="1:10" ht="20.100000000000001" customHeight="1" x14ac:dyDescent="0.2">
      <c r="A28" s="2">
        <v>3</v>
      </c>
      <c r="B28" s="29" t="s">
        <v>102</v>
      </c>
      <c r="C28" s="4">
        <f>SUM(C16:C18)</f>
        <v>8513.64</v>
      </c>
      <c r="D28" s="19">
        <f>SUM(D16:D18)</f>
        <v>29</v>
      </c>
      <c r="E28" s="20">
        <f>C28/D28</f>
        <v>293.57379310344828</v>
      </c>
      <c r="F28" s="4">
        <v>250</v>
      </c>
      <c r="G28" s="24" t="str">
        <f>IF(E28&lt;=F28,"ผ่าน","เกิน")</f>
        <v>เกิน</v>
      </c>
      <c r="H28" s="25">
        <f>E28-F28</f>
        <v>43.573793103448281</v>
      </c>
      <c r="I28" s="2" t="s">
        <v>120</v>
      </c>
      <c r="J28" s="3" t="s">
        <v>121</v>
      </c>
    </row>
    <row r="29" spans="1:10" ht="20.100000000000001" customHeight="1" x14ac:dyDescent="0.2">
      <c r="A29" s="6">
        <v>4</v>
      </c>
      <c r="B29" s="30" t="s">
        <v>103</v>
      </c>
      <c r="C29" s="8">
        <f>SUM(C19:C21)</f>
        <v>11641.59</v>
      </c>
      <c r="D29" s="31">
        <f>SUM(D19:D21)</f>
        <v>19</v>
      </c>
      <c r="E29" s="32">
        <f>C29/D29</f>
        <v>612.7152631578947</v>
      </c>
      <c r="F29" s="8">
        <v>250</v>
      </c>
      <c r="G29" s="24" t="str">
        <f>IF(E29&lt;=F29,"ผ่าน","เกิน")</f>
        <v>เกิน</v>
      </c>
      <c r="H29" s="33">
        <f>E29-F29</f>
        <v>362.7152631578947</v>
      </c>
      <c r="I29" s="6" t="s">
        <v>118</v>
      </c>
      <c r="J29" s="7" t="s">
        <v>122</v>
      </c>
    </row>
    <row r="31" spans="1:10" ht="24" customHeight="1" x14ac:dyDescent="0.2">
      <c r="A31" s="42" t="s">
        <v>123</v>
      </c>
      <c r="B31" s="43"/>
      <c r="C31" s="43"/>
      <c r="D31" s="43"/>
      <c r="E31" s="43"/>
      <c r="F31" s="43"/>
      <c r="G31" s="43"/>
      <c r="H31" s="43"/>
      <c r="I31" s="43"/>
      <c r="J31" s="43"/>
    </row>
    <row r="32" spans="1:10" ht="26.1" customHeight="1" x14ac:dyDescent="0.2">
      <c r="A32" s="34" t="s">
        <v>21</v>
      </c>
      <c r="B32" s="34" t="s">
        <v>124</v>
      </c>
      <c r="C32" s="34" t="s">
        <v>108</v>
      </c>
      <c r="D32" s="34" t="s">
        <v>109</v>
      </c>
      <c r="E32" s="34" t="s">
        <v>110</v>
      </c>
      <c r="F32" s="34" t="s">
        <v>111</v>
      </c>
      <c r="G32" s="34" t="s">
        <v>112</v>
      </c>
      <c r="H32" s="34" t="s">
        <v>113</v>
      </c>
      <c r="I32" s="34" t="s">
        <v>125</v>
      </c>
      <c r="J32" s="34" t="s">
        <v>126</v>
      </c>
    </row>
    <row r="33" spans="1:10" ht="20.100000000000001" customHeight="1" x14ac:dyDescent="0.2">
      <c r="A33" s="2">
        <v>1</v>
      </c>
      <c r="B33" s="35" t="s">
        <v>98</v>
      </c>
      <c r="C33" s="4">
        <f t="shared" ref="C33:D35" si="3">SUM(C10,C13,C16,C19)</f>
        <v>11729.43</v>
      </c>
      <c r="D33" s="19">
        <f t="shared" si="3"/>
        <v>31</v>
      </c>
      <c r="E33" s="20">
        <f>C33/D33</f>
        <v>378.36870967741936</v>
      </c>
      <c r="F33" s="4">
        <v>250</v>
      </c>
      <c r="G33" s="24" t="str">
        <f>IF(E33&lt;=F33,"ผ่าน","เกิน")</f>
        <v>เกิน</v>
      </c>
      <c r="H33" s="25">
        <f>E33-F33</f>
        <v>128.36870967741936</v>
      </c>
      <c r="I33" s="2" t="s">
        <v>127</v>
      </c>
      <c r="J33" s="3" t="s">
        <v>128</v>
      </c>
    </row>
    <row r="34" spans="1:10" ht="20.100000000000001" customHeight="1" x14ac:dyDescent="0.2">
      <c r="A34" s="6">
        <v>2</v>
      </c>
      <c r="B34" s="36" t="s">
        <v>99</v>
      </c>
      <c r="C34" s="8">
        <f t="shared" si="3"/>
        <v>16656.07</v>
      </c>
      <c r="D34" s="31">
        <f t="shared" si="3"/>
        <v>58</v>
      </c>
      <c r="E34" s="32">
        <f>C34/D34</f>
        <v>287.17362068965519</v>
      </c>
      <c r="F34" s="8">
        <v>250</v>
      </c>
      <c r="G34" s="24" t="str">
        <f>IF(E34&lt;=F34,"ผ่าน","เกิน")</f>
        <v>เกิน</v>
      </c>
      <c r="H34" s="33">
        <f>E34-F34</f>
        <v>37.173620689655195</v>
      </c>
      <c r="I34" s="6" t="s">
        <v>129</v>
      </c>
      <c r="J34" s="7" t="s">
        <v>130</v>
      </c>
    </row>
    <row r="35" spans="1:10" ht="20.100000000000001" customHeight="1" x14ac:dyDescent="0.2">
      <c r="A35" s="2">
        <v>3</v>
      </c>
      <c r="B35" s="35" t="s">
        <v>100</v>
      </c>
      <c r="C35" s="4">
        <f t="shared" si="3"/>
        <v>16719.34</v>
      </c>
      <c r="D35" s="19">
        <f t="shared" si="3"/>
        <v>52</v>
      </c>
      <c r="E35" s="20">
        <f>C35/D35</f>
        <v>321.52576923076924</v>
      </c>
      <c r="F35" s="4">
        <v>250</v>
      </c>
      <c r="G35" s="24" t="str">
        <f>IF(E35&lt;=F35,"ผ่าน","เกิน")</f>
        <v>เกิน</v>
      </c>
      <c r="H35" s="25">
        <f>E35-F35</f>
        <v>71.525769230769242</v>
      </c>
      <c r="I35" s="2" t="s">
        <v>127</v>
      </c>
      <c r="J35" s="3" t="s">
        <v>131</v>
      </c>
    </row>
  </sheetData>
  <mergeCells count="25">
    <mergeCell ref="A13:A15"/>
    <mergeCell ref="C4:D4"/>
    <mergeCell ref="E4:F4"/>
    <mergeCell ref="A31:J31"/>
    <mergeCell ref="A10:A12"/>
    <mergeCell ref="A19:A21"/>
    <mergeCell ref="G6:H6"/>
    <mergeCell ref="A24:J24"/>
    <mergeCell ref="A22:B22"/>
    <mergeCell ref="A16:A18"/>
    <mergeCell ref="C6:D6"/>
    <mergeCell ref="I6:J6"/>
    <mergeCell ref="A8:J8"/>
    <mergeCell ref="C5:D5"/>
    <mergeCell ref="E5:F5"/>
    <mergeCell ref="A6:B6"/>
    <mergeCell ref="A1:J1"/>
    <mergeCell ref="E6:F6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zoomScale="85" zoomScaleNormal="85" workbookViewId="0">
      <selection sqref="A1:M1"/>
    </sheetView>
  </sheetViews>
  <sheetFormatPr defaultRowHeight="14.25" x14ac:dyDescent="0.2"/>
  <cols>
    <col min="1" max="1" width="8" customWidth="1"/>
    <col min="2" max="2" width="21.5" customWidth="1"/>
    <col min="3" max="11" width="14" customWidth="1"/>
    <col min="12" max="12" width="20" customWidth="1"/>
    <col min="13" max="13" width="18" customWidth="1"/>
  </cols>
  <sheetData>
    <row r="1" spans="1:13" ht="27.95" customHeight="1" x14ac:dyDescent="0.2">
      <c r="A1" s="53" t="s">
        <v>132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8" customHeight="1" x14ac:dyDescent="0.2">
      <c r="A2" s="46" t="s">
        <v>133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spans="1:13" ht="21.95" customHeight="1" x14ac:dyDescent="0.2">
      <c r="A4" s="42" t="s">
        <v>134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ht="24.95" customHeight="1" x14ac:dyDescent="0.2">
      <c r="A5" s="37" t="s">
        <v>21</v>
      </c>
      <c r="B5" s="37" t="s">
        <v>135</v>
      </c>
      <c r="C5" s="37" t="s">
        <v>48</v>
      </c>
      <c r="D5" s="37" t="s">
        <v>50</v>
      </c>
      <c r="E5" s="37" t="s">
        <v>52</v>
      </c>
      <c r="F5" s="37" t="s">
        <v>54</v>
      </c>
      <c r="G5" s="37" t="s">
        <v>56</v>
      </c>
      <c r="H5" s="37" t="s">
        <v>58</v>
      </c>
      <c r="I5" s="37" t="s">
        <v>60</v>
      </c>
      <c r="J5" s="37" t="s">
        <v>62</v>
      </c>
      <c r="K5" s="37" t="s">
        <v>64</v>
      </c>
      <c r="L5" s="37" t="s">
        <v>43</v>
      </c>
      <c r="M5" s="37" t="s">
        <v>136</v>
      </c>
    </row>
    <row r="6" spans="1:13" ht="18.95" customHeight="1" x14ac:dyDescent="0.2">
      <c r="A6" s="2">
        <v>1</v>
      </c>
      <c r="B6" s="3" t="s">
        <v>32</v>
      </c>
      <c r="C6" s="4">
        <v>1488.1</v>
      </c>
      <c r="D6" s="4">
        <v>1494.6</v>
      </c>
      <c r="E6" s="4">
        <v>2959.8</v>
      </c>
      <c r="F6" s="4">
        <v>3247.1</v>
      </c>
      <c r="G6" s="4">
        <v>2679.5</v>
      </c>
      <c r="H6" s="4">
        <v>1066.2</v>
      </c>
      <c r="I6" s="4">
        <v>1382.6</v>
      </c>
      <c r="J6" s="4">
        <v>873.8</v>
      </c>
      <c r="K6" s="4">
        <v>150.4</v>
      </c>
      <c r="L6" s="4">
        <f t="shared" ref="L6:L11" si="0">SUM(C6:K6)</f>
        <v>15342.1</v>
      </c>
      <c r="M6" s="4">
        <f t="shared" ref="M6:M12" si="1">AVERAGE(C6:J6)</f>
        <v>1898.9625000000001</v>
      </c>
    </row>
    <row r="7" spans="1:13" ht="18.95" customHeight="1" x14ac:dyDescent="0.2">
      <c r="A7" s="6">
        <v>2</v>
      </c>
      <c r="B7" s="7" t="s">
        <v>34</v>
      </c>
      <c r="C7" s="8">
        <v>1292.8</v>
      </c>
      <c r="D7" s="8">
        <v>1415.2</v>
      </c>
      <c r="E7" s="8">
        <v>1264.3</v>
      </c>
      <c r="F7" s="8">
        <v>2009.4</v>
      </c>
      <c r="G7" s="8">
        <v>1817.7</v>
      </c>
      <c r="H7" s="8">
        <v>600.5</v>
      </c>
      <c r="I7" s="8">
        <v>600.29999999999995</v>
      </c>
      <c r="J7" s="8">
        <v>323.8</v>
      </c>
      <c r="K7" s="8">
        <v>22.3</v>
      </c>
      <c r="L7" s="8">
        <f t="shared" si="0"/>
        <v>9346.2999999999993</v>
      </c>
      <c r="M7" s="8">
        <f t="shared" si="1"/>
        <v>1165.5</v>
      </c>
    </row>
    <row r="8" spans="1:13" ht="18.95" customHeight="1" x14ac:dyDescent="0.2">
      <c r="A8" s="2">
        <v>3</v>
      </c>
      <c r="B8" s="3" t="s">
        <v>35</v>
      </c>
      <c r="C8" s="4">
        <v>0</v>
      </c>
      <c r="D8" s="4">
        <v>0</v>
      </c>
      <c r="E8" s="4">
        <v>137.9</v>
      </c>
      <c r="F8" s="4">
        <v>1494.3</v>
      </c>
      <c r="G8" s="4">
        <v>1383.5</v>
      </c>
      <c r="H8" s="4">
        <v>1021.6</v>
      </c>
      <c r="I8" s="4">
        <v>1166.7</v>
      </c>
      <c r="J8" s="4">
        <v>867.3</v>
      </c>
      <c r="K8" s="4">
        <v>36.700000000000003</v>
      </c>
      <c r="L8" s="4">
        <f t="shared" si="0"/>
        <v>6108</v>
      </c>
      <c r="M8" s="4">
        <f t="shared" si="1"/>
        <v>758.91250000000002</v>
      </c>
    </row>
    <row r="9" spans="1:13" ht="18.95" customHeight="1" x14ac:dyDescent="0.2">
      <c r="A9" s="6">
        <v>4</v>
      </c>
      <c r="B9" s="7" t="s">
        <v>37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157.30000000000001</v>
      </c>
      <c r="K9" s="8">
        <v>30.1</v>
      </c>
      <c r="L9" s="8">
        <f t="shared" si="0"/>
        <v>187.4</v>
      </c>
      <c r="M9" s="8">
        <f t="shared" si="1"/>
        <v>19.662500000000001</v>
      </c>
    </row>
    <row r="10" spans="1:13" ht="18.95" customHeight="1" x14ac:dyDescent="0.2">
      <c r="A10" s="2">
        <v>5</v>
      </c>
      <c r="B10" s="3" t="s">
        <v>39</v>
      </c>
      <c r="C10" s="4">
        <v>936.3</v>
      </c>
      <c r="D10" s="4">
        <v>1057.0999999999999</v>
      </c>
      <c r="E10" s="4">
        <v>498.8</v>
      </c>
      <c r="F10" s="4">
        <v>1020.8</v>
      </c>
      <c r="G10" s="4">
        <v>1727.2</v>
      </c>
      <c r="H10" s="4">
        <v>749.2</v>
      </c>
      <c r="I10" s="4">
        <v>472.9</v>
      </c>
      <c r="J10" s="4">
        <v>158.4</v>
      </c>
      <c r="K10" s="4">
        <v>31.6</v>
      </c>
      <c r="L10" s="4">
        <f t="shared" si="0"/>
        <v>6652.2999999999993</v>
      </c>
      <c r="M10" s="4">
        <f t="shared" si="1"/>
        <v>827.58749999999986</v>
      </c>
    </row>
    <row r="11" spans="1:13" ht="18.95" customHeight="1" x14ac:dyDescent="0.2">
      <c r="A11" s="6">
        <v>6</v>
      </c>
      <c r="B11" s="7" t="s">
        <v>40</v>
      </c>
      <c r="C11" s="8">
        <v>232</v>
      </c>
      <c r="D11" s="8">
        <v>414.7</v>
      </c>
      <c r="E11" s="8">
        <v>631.6</v>
      </c>
      <c r="F11" s="8">
        <v>685.4</v>
      </c>
      <c r="G11" s="8">
        <v>672.4</v>
      </c>
      <c r="H11" s="8">
        <v>476.6</v>
      </c>
      <c r="I11" s="8">
        <v>476.3</v>
      </c>
      <c r="J11" s="8">
        <v>405.2</v>
      </c>
      <c r="K11" s="8">
        <v>0</v>
      </c>
      <c r="L11" s="8">
        <f t="shared" si="0"/>
        <v>3994.2000000000003</v>
      </c>
      <c r="M11" s="8">
        <f t="shared" si="1"/>
        <v>499.27500000000003</v>
      </c>
    </row>
    <row r="12" spans="1:13" ht="21.95" customHeight="1" x14ac:dyDescent="0.2">
      <c r="A12" s="10" t="s">
        <v>42</v>
      </c>
      <c r="B12" s="11" t="s">
        <v>137</v>
      </c>
      <c r="C12" s="12">
        <f t="shared" ref="C12:L12" si="2">SUM(C6:C11)</f>
        <v>3949.2</v>
      </c>
      <c r="D12" s="12">
        <f t="shared" si="2"/>
        <v>4381.6000000000004</v>
      </c>
      <c r="E12" s="12">
        <f t="shared" si="2"/>
        <v>5492.4000000000005</v>
      </c>
      <c r="F12" s="12">
        <f t="shared" si="2"/>
        <v>8457</v>
      </c>
      <c r="G12" s="12">
        <f t="shared" si="2"/>
        <v>8280.2999999999993</v>
      </c>
      <c r="H12" s="12">
        <f t="shared" si="2"/>
        <v>3914.1</v>
      </c>
      <c r="I12" s="12">
        <f t="shared" si="2"/>
        <v>4098.8</v>
      </c>
      <c r="J12" s="12">
        <f t="shared" si="2"/>
        <v>2785.7999999999997</v>
      </c>
      <c r="K12" s="12">
        <f t="shared" si="2"/>
        <v>271.10000000000002</v>
      </c>
      <c r="L12" s="12">
        <f t="shared" si="2"/>
        <v>41630.300000000003</v>
      </c>
      <c r="M12" s="12">
        <f t="shared" si="1"/>
        <v>5169.9000000000005</v>
      </c>
    </row>
    <row r="14" spans="1:13" ht="21.95" customHeight="1" x14ac:dyDescent="0.2">
      <c r="A14" s="42" t="s">
        <v>138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</row>
    <row r="15" spans="1:13" ht="24.95" customHeight="1" x14ac:dyDescent="0.2">
      <c r="A15" s="38" t="s">
        <v>21</v>
      </c>
      <c r="B15" s="38" t="s">
        <v>135</v>
      </c>
      <c r="C15" s="38" t="s">
        <v>48</v>
      </c>
      <c r="D15" s="38" t="s">
        <v>50</v>
      </c>
      <c r="E15" s="38" t="s">
        <v>52</v>
      </c>
      <c r="F15" s="38" t="s">
        <v>54</v>
      </c>
      <c r="G15" s="38" t="s">
        <v>56</v>
      </c>
      <c r="H15" s="38" t="s">
        <v>58</v>
      </c>
      <c r="I15" s="38" t="s">
        <v>60</v>
      </c>
      <c r="J15" s="38" t="s">
        <v>62</v>
      </c>
      <c r="K15" s="38" t="s">
        <v>64</v>
      </c>
      <c r="L15" s="38" t="s">
        <v>43</v>
      </c>
      <c r="M15" s="38" t="s">
        <v>136</v>
      </c>
    </row>
    <row r="16" spans="1:13" ht="18.95" customHeight="1" x14ac:dyDescent="0.2">
      <c r="A16" s="2">
        <v>1</v>
      </c>
      <c r="B16" s="3" t="s">
        <v>32</v>
      </c>
      <c r="C16" s="4">
        <v>675.8</v>
      </c>
      <c r="D16" s="4">
        <v>574.4</v>
      </c>
      <c r="E16" s="4">
        <v>893.1</v>
      </c>
      <c r="F16" s="4">
        <v>876.5</v>
      </c>
      <c r="G16" s="4">
        <v>747</v>
      </c>
      <c r="H16" s="4">
        <v>581.29999999999995</v>
      </c>
      <c r="I16" s="4">
        <v>583.29999999999995</v>
      </c>
      <c r="J16" s="4">
        <v>538.20000000000005</v>
      </c>
      <c r="K16" s="4">
        <v>50.6</v>
      </c>
      <c r="L16" s="4">
        <f t="shared" ref="L16:L21" si="3">SUM(C16:K16)</f>
        <v>5520.2</v>
      </c>
      <c r="M16" s="4">
        <f t="shared" ref="M16:M22" si="4">AVERAGE(C16:J16)</f>
        <v>683.69999999999993</v>
      </c>
    </row>
    <row r="17" spans="1:13" ht="18.95" customHeight="1" x14ac:dyDescent="0.2">
      <c r="A17" s="6">
        <v>2</v>
      </c>
      <c r="B17" s="7" t="s">
        <v>34</v>
      </c>
      <c r="C17" s="8">
        <v>797.6</v>
      </c>
      <c r="D17" s="8">
        <v>641.5</v>
      </c>
      <c r="E17" s="8">
        <v>410.9</v>
      </c>
      <c r="F17" s="8">
        <v>511.7</v>
      </c>
      <c r="G17" s="8">
        <v>437.2</v>
      </c>
      <c r="H17" s="8">
        <v>275.39999999999998</v>
      </c>
      <c r="I17" s="8">
        <v>237.3</v>
      </c>
      <c r="J17" s="8">
        <v>212.6</v>
      </c>
      <c r="K17" s="8">
        <v>18.899999999999999</v>
      </c>
      <c r="L17" s="8">
        <f t="shared" si="3"/>
        <v>3543.1</v>
      </c>
      <c r="M17" s="8">
        <f t="shared" si="4"/>
        <v>440.52499999999998</v>
      </c>
    </row>
    <row r="18" spans="1:13" ht="18.95" customHeight="1" x14ac:dyDescent="0.2">
      <c r="A18" s="2">
        <v>3</v>
      </c>
      <c r="B18" s="3" t="s">
        <v>35</v>
      </c>
      <c r="C18" s="4">
        <v>0</v>
      </c>
      <c r="D18" s="4">
        <v>0</v>
      </c>
      <c r="E18" s="4">
        <v>131.5</v>
      </c>
      <c r="F18" s="4">
        <v>452.1</v>
      </c>
      <c r="G18" s="4">
        <v>514.29999999999995</v>
      </c>
      <c r="H18" s="4">
        <v>497.8</v>
      </c>
      <c r="I18" s="4">
        <v>404.9</v>
      </c>
      <c r="J18" s="4">
        <v>395.5</v>
      </c>
      <c r="K18" s="4">
        <v>23.9</v>
      </c>
      <c r="L18" s="4">
        <f t="shared" si="3"/>
        <v>2420</v>
      </c>
      <c r="M18" s="4">
        <f t="shared" si="4"/>
        <v>299.51249999999999</v>
      </c>
    </row>
    <row r="19" spans="1:13" ht="18.95" customHeight="1" x14ac:dyDescent="0.2">
      <c r="A19" s="6">
        <v>4</v>
      </c>
      <c r="B19" s="7" t="s">
        <v>37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52.9</v>
      </c>
      <c r="K19" s="8">
        <v>21.6</v>
      </c>
      <c r="L19" s="8">
        <f t="shared" si="3"/>
        <v>74.5</v>
      </c>
      <c r="M19" s="8">
        <f t="shared" si="4"/>
        <v>6.6124999999999998</v>
      </c>
    </row>
    <row r="20" spans="1:13" ht="18.95" customHeight="1" x14ac:dyDescent="0.2">
      <c r="A20" s="2">
        <v>5</v>
      </c>
      <c r="B20" s="3" t="s">
        <v>39</v>
      </c>
      <c r="C20" s="4">
        <v>306.8</v>
      </c>
      <c r="D20" s="4">
        <v>317.3</v>
      </c>
      <c r="E20" s="4">
        <v>242.4</v>
      </c>
      <c r="F20" s="4">
        <v>377.2</v>
      </c>
      <c r="G20" s="4">
        <v>418.8</v>
      </c>
      <c r="H20" s="4">
        <v>371.8</v>
      </c>
      <c r="I20" s="4">
        <v>299.3</v>
      </c>
      <c r="J20" s="4">
        <v>58.3</v>
      </c>
      <c r="K20" s="4">
        <v>22</v>
      </c>
      <c r="L20" s="4">
        <f t="shared" si="3"/>
        <v>2413.9</v>
      </c>
      <c r="M20" s="4">
        <f t="shared" si="4"/>
        <v>298.98750000000001</v>
      </c>
    </row>
    <row r="21" spans="1:13" ht="18.95" customHeight="1" x14ac:dyDescent="0.2">
      <c r="A21" s="6">
        <v>6</v>
      </c>
      <c r="B21" s="7" t="s">
        <v>40</v>
      </c>
      <c r="C21" s="8">
        <v>232</v>
      </c>
      <c r="D21" s="8">
        <v>414.7</v>
      </c>
      <c r="E21" s="8">
        <v>631.6</v>
      </c>
      <c r="F21" s="8">
        <v>685.4</v>
      </c>
      <c r="G21" s="8">
        <v>672.4</v>
      </c>
      <c r="H21" s="8">
        <v>476.6</v>
      </c>
      <c r="I21" s="8">
        <v>476.3</v>
      </c>
      <c r="J21" s="8">
        <v>405.2</v>
      </c>
      <c r="K21" s="8">
        <v>0</v>
      </c>
      <c r="L21" s="8">
        <f t="shared" si="3"/>
        <v>3994.2000000000003</v>
      </c>
      <c r="M21" s="8">
        <f t="shared" si="4"/>
        <v>499.27500000000003</v>
      </c>
    </row>
    <row r="22" spans="1:13" ht="21.95" customHeight="1" x14ac:dyDescent="0.2">
      <c r="A22" s="10" t="s">
        <v>42</v>
      </c>
      <c r="B22" s="11" t="s">
        <v>137</v>
      </c>
      <c r="C22" s="12">
        <f t="shared" ref="C22:L22" si="5">SUM(C16:C21)</f>
        <v>2012.2</v>
      </c>
      <c r="D22" s="12">
        <f t="shared" si="5"/>
        <v>1947.9</v>
      </c>
      <c r="E22" s="12">
        <f t="shared" si="5"/>
        <v>2309.5</v>
      </c>
      <c r="F22" s="12">
        <f t="shared" si="5"/>
        <v>2902.9</v>
      </c>
      <c r="G22" s="12">
        <f t="shared" si="5"/>
        <v>2789.7000000000003</v>
      </c>
      <c r="H22" s="12">
        <f t="shared" si="5"/>
        <v>2202.9</v>
      </c>
      <c r="I22" s="12">
        <f t="shared" si="5"/>
        <v>2001.1</v>
      </c>
      <c r="J22" s="12">
        <f t="shared" si="5"/>
        <v>1662.7000000000003</v>
      </c>
      <c r="K22" s="12">
        <f t="shared" si="5"/>
        <v>137</v>
      </c>
      <c r="L22" s="12">
        <f t="shared" si="5"/>
        <v>17965.899999999998</v>
      </c>
      <c r="M22" s="12">
        <f t="shared" si="4"/>
        <v>2228.6125000000002</v>
      </c>
    </row>
    <row r="24" spans="1:13" ht="21.95" customHeight="1" x14ac:dyDescent="0.2">
      <c r="A24" s="42" t="s">
        <v>139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</row>
    <row r="25" spans="1:13" ht="24.95" customHeight="1" x14ac:dyDescent="0.2">
      <c r="A25" s="39" t="s">
        <v>21</v>
      </c>
      <c r="B25" s="39" t="s">
        <v>135</v>
      </c>
      <c r="C25" s="39" t="s">
        <v>48</v>
      </c>
      <c r="D25" s="39" t="s">
        <v>50</v>
      </c>
      <c r="E25" s="39" t="s">
        <v>52</v>
      </c>
      <c r="F25" s="39" t="s">
        <v>54</v>
      </c>
      <c r="G25" s="39" t="s">
        <v>56</v>
      </c>
      <c r="H25" s="39" t="s">
        <v>58</v>
      </c>
      <c r="I25" s="39" t="s">
        <v>60</v>
      </c>
      <c r="J25" s="39" t="s">
        <v>62</v>
      </c>
      <c r="K25" s="39" t="s">
        <v>64</v>
      </c>
      <c r="L25" s="39" t="s">
        <v>43</v>
      </c>
      <c r="M25" s="39" t="s">
        <v>136</v>
      </c>
    </row>
    <row r="26" spans="1:13" ht="18.95" customHeight="1" x14ac:dyDescent="0.2">
      <c r="A26" s="2">
        <v>1</v>
      </c>
      <c r="B26" s="3" t="s">
        <v>32</v>
      </c>
      <c r="C26" s="4">
        <v>844.1</v>
      </c>
      <c r="D26" s="4">
        <v>950.5</v>
      </c>
      <c r="E26" s="4">
        <v>2100.6</v>
      </c>
      <c r="F26" s="4">
        <v>2396.4</v>
      </c>
      <c r="G26" s="4">
        <v>1966.3</v>
      </c>
      <c r="H26" s="4">
        <v>525.6</v>
      </c>
      <c r="I26" s="4">
        <v>834.8</v>
      </c>
      <c r="J26" s="4">
        <v>368.4</v>
      </c>
      <c r="K26" s="4">
        <v>104.9</v>
      </c>
      <c r="L26" s="4">
        <f t="shared" ref="L26:L31" si="6">SUM(C26:K26)</f>
        <v>10091.599999999999</v>
      </c>
      <c r="M26" s="4">
        <f t="shared" ref="M26:M32" si="7">AVERAGE(C26:J26)</f>
        <v>1248.3374999999999</v>
      </c>
    </row>
    <row r="27" spans="1:13" ht="18.95" customHeight="1" x14ac:dyDescent="0.2">
      <c r="A27" s="6">
        <v>2</v>
      </c>
      <c r="B27" s="7" t="s">
        <v>34</v>
      </c>
      <c r="C27" s="8">
        <v>495.5</v>
      </c>
      <c r="D27" s="8">
        <v>782.3</v>
      </c>
      <c r="E27" s="8">
        <v>854.6</v>
      </c>
      <c r="F27" s="8">
        <v>1498.6</v>
      </c>
      <c r="G27" s="8">
        <v>1381.9</v>
      </c>
      <c r="H27" s="8">
        <v>343.9</v>
      </c>
      <c r="I27" s="8">
        <v>371.8</v>
      </c>
      <c r="J27" s="8">
        <v>122</v>
      </c>
      <c r="K27" s="8">
        <v>5.3</v>
      </c>
      <c r="L27" s="8">
        <f t="shared" si="6"/>
        <v>5855.9</v>
      </c>
      <c r="M27" s="8">
        <f t="shared" si="7"/>
        <v>731.32499999999993</v>
      </c>
    </row>
    <row r="28" spans="1:13" ht="18.95" customHeight="1" x14ac:dyDescent="0.2">
      <c r="A28" s="2">
        <v>3</v>
      </c>
      <c r="B28" s="3" t="s">
        <v>35</v>
      </c>
      <c r="C28" s="4">
        <v>0</v>
      </c>
      <c r="D28" s="4">
        <v>0</v>
      </c>
      <c r="E28" s="4">
        <v>17.899999999999999</v>
      </c>
      <c r="F28" s="4">
        <v>1039.5</v>
      </c>
      <c r="G28" s="4">
        <v>898.8</v>
      </c>
      <c r="H28" s="4">
        <v>566.5</v>
      </c>
      <c r="I28" s="4">
        <v>786</v>
      </c>
      <c r="J28" s="4">
        <v>493.6</v>
      </c>
      <c r="K28" s="4">
        <v>19.5</v>
      </c>
      <c r="L28" s="4">
        <f t="shared" si="6"/>
        <v>3821.7999999999997</v>
      </c>
      <c r="M28" s="4">
        <f t="shared" si="7"/>
        <v>475.28749999999997</v>
      </c>
    </row>
    <row r="29" spans="1:13" ht="18.95" customHeight="1" x14ac:dyDescent="0.2">
      <c r="A29" s="6">
        <v>4</v>
      </c>
      <c r="B29" s="7" t="s">
        <v>37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109.2</v>
      </c>
      <c r="K29" s="8">
        <v>13.1</v>
      </c>
      <c r="L29" s="8">
        <f t="shared" si="6"/>
        <v>122.3</v>
      </c>
      <c r="M29" s="8">
        <f t="shared" si="7"/>
        <v>13.65</v>
      </c>
    </row>
    <row r="30" spans="1:13" ht="18.95" customHeight="1" x14ac:dyDescent="0.2">
      <c r="A30" s="2">
        <v>5</v>
      </c>
      <c r="B30" s="3" t="s">
        <v>39</v>
      </c>
      <c r="C30" s="4">
        <v>651.20000000000005</v>
      </c>
      <c r="D30" s="4">
        <v>755.9</v>
      </c>
      <c r="E30" s="4">
        <v>280.10000000000002</v>
      </c>
      <c r="F30" s="4">
        <v>644</v>
      </c>
      <c r="G30" s="4">
        <v>1325.3</v>
      </c>
      <c r="H30" s="4">
        <v>373.7</v>
      </c>
      <c r="I30" s="4">
        <v>139.1</v>
      </c>
      <c r="J30" s="4">
        <v>109.2</v>
      </c>
      <c r="K30" s="4">
        <v>13.3</v>
      </c>
      <c r="L30" s="4">
        <f t="shared" si="6"/>
        <v>4291.8</v>
      </c>
      <c r="M30" s="4">
        <f t="shared" si="7"/>
        <v>534.8125</v>
      </c>
    </row>
    <row r="31" spans="1:13" ht="18.95" customHeight="1" x14ac:dyDescent="0.2">
      <c r="A31" s="6">
        <v>6</v>
      </c>
      <c r="B31" s="7" t="s">
        <v>40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f t="shared" si="6"/>
        <v>0</v>
      </c>
      <c r="M31" s="8">
        <f t="shared" si="7"/>
        <v>0</v>
      </c>
    </row>
    <row r="32" spans="1:13" ht="21.95" customHeight="1" x14ac:dyDescent="0.2">
      <c r="A32" s="10" t="s">
        <v>42</v>
      </c>
      <c r="B32" s="11" t="s">
        <v>137</v>
      </c>
      <c r="C32" s="12">
        <f t="shared" ref="C32:L32" si="8">SUM(C26:C31)</f>
        <v>1990.8</v>
      </c>
      <c r="D32" s="12">
        <f t="shared" si="8"/>
        <v>2488.6999999999998</v>
      </c>
      <c r="E32" s="12">
        <f t="shared" si="8"/>
        <v>3253.2</v>
      </c>
      <c r="F32" s="12">
        <f t="shared" si="8"/>
        <v>5578.5</v>
      </c>
      <c r="G32" s="12">
        <f t="shared" si="8"/>
        <v>5572.3</v>
      </c>
      <c r="H32" s="12">
        <f t="shared" si="8"/>
        <v>1809.7</v>
      </c>
      <c r="I32" s="12">
        <f t="shared" si="8"/>
        <v>2131.6999999999998</v>
      </c>
      <c r="J32" s="12">
        <f t="shared" si="8"/>
        <v>1202.4000000000001</v>
      </c>
      <c r="K32" s="12">
        <f t="shared" si="8"/>
        <v>156.1</v>
      </c>
      <c r="L32" s="12">
        <f t="shared" si="8"/>
        <v>24183.399999999998</v>
      </c>
      <c r="M32" s="12">
        <f t="shared" si="7"/>
        <v>3003.4125000000004</v>
      </c>
    </row>
    <row r="34" spans="1:13" ht="21.95" customHeight="1" x14ac:dyDescent="0.2">
      <c r="A34" s="42" t="s">
        <v>140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 spans="1:13" ht="24.95" customHeight="1" x14ac:dyDescent="0.2">
      <c r="A35" s="40" t="s">
        <v>21</v>
      </c>
      <c r="B35" s="40" t="s">
        <v>135</v>
      </c>
      <c r="C35" s="40" t="s">
        <v>48</v>
      </c>
      <c r="D35" s="40" t="s">
        <v>50</v>
      </c>
      <c r="E35" s="40" t="s">
        <v>52</v>
      </c>
      <c r="F35" s="40" t="s">
        <v>54</v>
      </c>
      <c r="G35" s="40" t="s">
        <v>56</v>
      </c>
      <c r="H35" s="40" t="s">
        <v>58</v>
      </c>
      <c r="I35" s="40" t="s">
        <v>60</v>
      </c>
      <c r="J35" s="40" t="s">
        <v>62</v>
      </c>
      <c r="K35" s="40" t="s">
        <v>64</v>
      </c>
      <c r="L35" s="40" t="s">
        <v>43</v>
      </c>
      <c r="M35" s="40" t="s">
        <v>136</v>
      </c>
    </row>
    <row r="36" spans="1:13" ht="18.95" customHeight="1" x14ac:dyDescent="0.2">
      <c r="A36" s="2">
        <v>1</v>
      </c>
      <c r="B36" s="3" t="s">
        <v>32</v>
      </c>
      <c r="C36" s="4">
        <v>120.5</v>
      </c>
      <c r="D36" s="4">
        <v>131</v>
      </c>
      <c r="E36" s="4">
        <v>134.1</v>
      </c>
      <c r="F36" s="4">
        <v>70.5</v>
      </c>
      <c r="G36" s="4">
        <v>130</v>
      </c>
      <c r="H36" s="4">
        <v>166.9</v>
      </c>
      <c r="I36" s="4">
        <v>137.69999999999999</v>
      </c>
      <c r="J36" s="4">
        <v>182.7</v>
      </c>
      <c r="K36" s="4">
        <v>15.7</v>
      </c>
      <c r="L36" s="4">
        <f t="shared" ref="L36:L41" si="9">SUM(C36:K36)</f>
        <v>1089.1000000000001</v>
      </c>
      <c r="M36" s="4">
        <f t="shared" ref="M36:M42" si="10">AVERAGE(C36:J36)</f>
        <v>134.17500000000001</v>
      </c>
    </row>
    <row r="37" spans="1:13" ht="18.95" customHeight="1" x14ac:dyDescent="0.2">
      <c r="A37" s="6">
        <v>2</v>
      </c>
      <c r="B37" s="7" t="s">
        <v>34</v>
      </c>
      <c r="C37" s="8">
        <v>180.3</v>
      </c>
      <c r="D37" s="8">
        <v>117.3</v>
      </c>
      <c r="E37" s="8">
        <v>20</v>
      </c>
      <c r="F37" s="8">
        <v>0</v>
      </c>
      <c r="G37" s="8">
        <v>0</v>
      </c>
      <c r="H37" s="8">
        <v>61.2</v>
      </c>
      <c r="I37" s="8">
        <v>70.099999999999994</v>
      </c>
      <c r="J37" s="8">
        <v>77.900000000000006</v>
      </c>
      <c r="K37" s="8">
        <v>2.6</v>
      </c>
      <c r="L37" s="8">
        <f t="shared" si="9"/>
        <v>529.4</v>
      </c>
      <c r="M37" s="8">
        <f t="shared" si="10"/>
        <v>65.849999999999994</v>
      </c>
    </row>
    <row r="38" spans="1:13" ht="18.95" customHeight="1" x14ac:dyDescent="0.2">
      <c r="A38" s="2">
        <v>3</v>
      </c>
      <c r="B38" s="3" t="s">
        <v>35</v>
      </c>
      <c r="C38" s="4">
        <v>0</v>
      </c>
      <c r="D38" s="4">
        <v>0</v>
      </c>
      <c r="E38" s="4">
        <v>38.9</v>
      </c>
      <c r="F38" s="4">
        <v>86</v>
      </c>
      <c r="G38" s="4">
        <v>214.1</v>
      </c>
      <c r="H38" s="4">
        <v>146.4</v>
      </c>
      <c r="I38" s="4">
        <v>131.9</v>
      </c>
      <c r="J38" s="4">
        <v>164.1</v>
      </c>
      <c r="K38" s="4">
        <v>9.8000000000000007</v>
      </c>
      <c r="L38" s="4">
        <f t="shared" si="9"/>
        <v>791.19999999999993</v>
      </c>
      <c r="M38" s="4">
        <f t="shared" si="10"/>
        <v>97.674999999999997</v>
      </c>
    </row>
    <row r="39" spans="1:13" ht="18.95" customHeight="1" x14ac:dyDescent="0.2">
      <c r="A39" s="6">
        <v>4</v>
      </c>
      <c r="B39" s="7" t="s">
        <v>37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2.4</v>
      </c>
      <c r="K39" s="8">
        <v>0.2</v>
      </c>
      <c r="L39" s="8">
        <f t="shared" si="9"/>
        <v>2.6</v>
      </c>
      <c r="M39" s="8">
        <f t="shared" si="10"/>
        <v>0.3</v>
      </c>
    </row>
    <row r="40" spans="1:13" ht="18.95" customHeight="1" x14ac:dyDescent="0.2">
      <c r="A40" s="2">
        <v>5</v>
      </c>
      <c r="B40" s="3" t="s">
        <v>39</v>
      </c>
      <c r="C40" s="4">
        <v>0</v>
      </c>
      <c r="D40" s="4">
        <v>0</v>
      </c>
      <c r="E40" s="4">
        <v>35.299999999999997</v>
      </c>
      <c r="F40" s="4">
        <v>28.3</v>
      </c>
      <c r="G40" s="4">
        <v>0</v>
      </c>
      <c r="H40" s="4">
        <v>103.1</v>
      </c>
      <c r="I40" s="4">
        <v>141</v>
      </c>
      <c r="J40" s="4">
        <v>0.9</v>
      </c>
      <c r="K40" s="4">
        <v>0.7</v>
      </c>
      <c r="L40" s="4">
        <f t="shared" si="9"/>
        <v>309.29999999999995</v>
      </c>
      <c r="M40" s="4">
        <f t="shared" si="10"/>
        <v>38.574999999999996</v>
      </c>
    </row>
    <row r="41" spans="1:13" ht="18.95" customHeight="1" x14ac:dyDescent="0.2">
      <c r="A41" s="6">
        <v>6</v>
      </c>
      <c r="B41" s="7" t="s">
        <v>40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f t="shared" si="9"/>
        <v>0</v>
      </c>
      <c r="M41" s="8">
        <f t="shared" si="10"/>
        <v>0</v>
      </c>
    </row>
    <row r="42" spans="1:13" ht="21.95" customHeight="1" x14ac:dyDescent="0.2">
      <c r="A42" s="10" t="s">
        <v>42</v>
      </c>
      <c r="B42" s="11" t="s">
        <v>137</v>
      </c>
      <c r="C42" s="12">
        <f t="shared" ref="C42:L42" si="11">SUM(C36:C41)</f>
        <v>300.8</v>
      </c>
      <c r="D42" s="12">
        <f t="shared" si="11"/>
        <v>248.3</v>
      </c>
      <c r="E42" s="12">
        <f t="shared" si="11"/>
        <v>228.3</v>
      </c>
      <c r="F42" s="12">
        <f t="shared" si="11"/>
        <v>184.8</v>
      </c>
      <c r="G42" s="12">
        <f t="shared" si="11"/>
        <v>344.1</v>
      </c>
      <c r="H42" s="12">
        <f t="shared" si="11"/>
        <v>477.6</v>
      </c>
      <c r="I42" s="12">
        <f t="shared" si="11"/>
        <v>480.7</v>
      </c>
      <c r="J42" s="12">
        <f t="shared" si="11"/>
        <v>428</v>
      </c>
      <c r="K42" s="12">
        <f t="shared" si="11"/>
        <v>29</v>
      </c>
      <c r="L42" s="12">
        <f t="shared" si="11"/>
        <v>2721.5999999999995</v>
      </c>
      <c r="M42" s="12">
        <f t="shared" si="10"/>
        <v>336.57499999999999</v>
      </c>
    </row>
    <row r="44" spans="1:13" ht="21.95" customHeight="1" x14ac:dyDescent="0.2">
      <c r="A44" s="42" t="s">
        <v>141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</row>
    <row r="45" spans="1:13" ht="24.95" customHeight="1" x14ac:dyDescent="0.2">
      <c r="A45" s="41" t="s">
        <v>21</v>
      </c>
      <c r="B45" s="41" t="s">
        <v>135</v>
      </c>
      <c r="C45" s="41" t="s">
        <v>48</v>
      </c>
      <c r="D45" s="41" t="s">
        <v>50</v>
      </c>
      <c r="E45" s="41" t="s">
        <v>52</v>
      </c>
      <c r="F45" s="41" t="s">
        <v>54</v>
      </c>
      <c r="G45" s="41" t="s">
        <v>56</v>
      </c>
      <c r="H45" s="41" t="s">
        <v>58</v>
      </c>
      <c r="I45" s="41" t="s">
        <v>60</v>
      </c>
      <c r="J45" s="41" t="s">
        <v>62</v>
      </c>
      <c r="K45" s="41" t="s">
        <v>64</v>
      </c>
      <c r="L45" s="41" t="s">
        <v>43</v>
      </c>
      <c r="M45" s="41" t="s">
        <v>136</v>
      </c>
    </row>
    <row r="46" spans="1:13" ht="18.95" customHeight="1" x14ac:dyDescent="0.2">
      <c r="A46" s="2">
        <v>1</v>
      </c>
      <c r="B46" s="3" t="s">
        <v>32</v>
      </c>
      <c r="C46" s="4">
        <v>2230.14</v>
      </c>
      <c r="D46" s="4">
        <v>1895.52</v>
      </c>
      <c r="E46" s="4">
        <v>2947.23</v>
      </c>
      <c r="F46" s="4">
        <v>2892.45</v>
      </c>
      <c r="G46" s="4">
        <v>2465.1</v>
      </c>
      <c r="H46" s="4">
        <v>1918.29</v>
      </c>
      <c r="I46" s="4">
        <v>1924.89</v>
      </c>
      <c r="J46" s="4">
        <v>1776.06</v>
      </c>
      <c r="K46" s="4">
        <v>166.98</v>
      </c>
      <c r="L46" s="4">
        <f t="shared" ref="L46:L51" si="12">SUM(C46:K46)</f>
        <v>18216.66</v>
      </c>
      <c r="M46" s="4">
        <f t="shared" ref="M46:M52" si="13">AVERAGE(C46:J46)</f>
        <v>2256.21</v>
      </c>
    </row>
    <row r="47" spans="1:13" ht="18.95" customHeight="1" x14ac:dyDescent="0.2">
      <c r="A47" s="6">
        <v>2</v>
      </c>
      <c r="B47" s="7" t="s">
        <v>34</v>
      </c>
      <c r="C47" s="8">
        <v>2632.08</v>
      </c>
      <c r="D47" s="8">
        <v>2116.9499999999998</v>
      </c>
      <c r="E47" s="8">
        <v>1355.97</v>
      </c>
      <c r="F47" s="8">
        <v>1688.61</v>
      </c>
      <c r="G47" s="8">
        <v>1442.76</v>
      </c>
      <c r="H47" s="8">
        <v>908.82</v>
      </c>
      <c r="I47" s="8">
        <v>783.09</v>
      </c>
      <c r="J47" s="8">
        <v>701.58</v>
      </c>
      <c r="K47" s="8">
        <v>62.37</v>
      </c>
      <c r="L47" s="8">
        <f t="shared" si="12"/>
        <v>11692.23</v>
      </c>
      <c r="M47" s="8">
        <f t="shared" si="13"/>
        <v>1453.7324999999998</v>
      </c>
    </row>
    <row r="48" spans="1:13" ht="18.95" customHeight="1" x14ac:dyDescent="0.2">
      <c r="A48" s="2">
        <v>3</v>
      </c>
      <c r="B48" s="3" t="s">
        <v>35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f t="shared" si="12"/>
        <v>0</v>
      </c>
      <c r="M48" s="4">
        <f t="shared" si="13"/>
        <v>0</v>
      </c>
    </row>
    <row r="49" spans="1:13" ht="18.95" customHeight="1" x14ac:dyDescent="0.2">
      <c r="A49" s="6">
        <v>4</v>
      </c>
      <c r="B49" s="7" t="s">
        <v>37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174.57</v>
      </c>
      <c r="K49" s="8">
        <v>71.28</v>
      </c>
      <c r="L49" s="8">
        <f t="shared" si="12"/>
        <v>245.85</v>
      </c>
      <c r="M49" s="8">
        <f t="shared" si="13"/>
        <v>21.821249999999999</v>
      </c>
    </row>
    <row r="50" spans="1:13" ht="18.95" customHeight="1" x14ac:dyDescent="0.2">
      <c r="A50" s="2">
        <v>5</v>
      </c>
      <c r="B50" s="3" t="s">
        <v>39</v>
      </c>
      <c r="C50" s="4">
        <v>1012.44</v>
      </c>
      <c r="D50" s="4">
        <v>1047.0899999999999</v>
      </c>
      <c r="E50" s="4">
        <v>799.92</v>
      </c>
      <c r="F50" s="4">
        <v>1244.76</v>
      </c>
      <c r="G50" s="4">
        <v>1382.04</v>
      </c>
      <c r="H50" s="4">
        <v>1226.94</v>
      </c>
      <c r="I50" s="4">
        <v>987.69</v>
      </c>
      <c r="J50" s="4">
        <v>192.39</v>
      </c>
      <c r="K50" s="4">
        <v>72.599999999999994</v>
      </c>
      <c r="L50" s="4">
        <f t="shared" si="12"/>
        <v>7965.8700000000017</v>
      </c>
      <c r="M50" s="4">
        <f t="shared" si="13"/>
        <v>986.65875000000017</v>
      </c>
    </row>
    <row r="51" spans="1:13" ht="18.95" customHeight="1" x14ac:dyDescent="0.2">
      <c r="A51" s="6">
        <v>6</v>
      </c>
      <c r="B51" s="7" t="s">
        <v>40</v>
      </c>
      <c r="C51" s="8">
        <v>1117.29</v>
      </c>
      <c r="D51" s="8">
        <v>1997.15</v>
      </c>
      <c r="E51" s="8">
        <v>3041.72</v>
      </c>
      <c r="F51" s="8">
        <v>3300.82</v>
      </c>
      <c r="G51" s="8">
        <v>3238.21</v>
      </c>
      <c r="H51" s="8">
        <v>2295.2600000000002</v>
      </c>
      <c r="I51" s="8">
        <v>2293.81</v>
      </c>
      <c r="J51" s="8">
        <v>1951.4</v>
      </c>
      <c r="K51" s="8">
        <v>0</v>
      </c>
      <c r="L51" s="8">
        <f t="shared" si="12"/>
        <v>19235.66</v>
      </c>
      <c r="M51" s="8">
        <f t="shared" si="13"/>
        <v>2404.4575</v>
      </c>
    </row>
    <row r="52" spans="1:13" ht="21.95" customHeight="1" x14ac:dyDescent="0.2">
      <c r="A52" s="10" t="s">
        <v>42</v>
      </c>
      <c r="B52" s="11" t="s">
        <v>137</v>
      </c>
      <c r="C52" s="12">
        <f t="shared" ref="C52:L52" si="14">SUM(C46:C51)</f>
        <v>6991.95</v>
      </c>
      <c r="D52" s="12">
        <f t="shared" si="14"/>
        <v>7056.7099999999991</v>
      </c>
      <c r="E52" s="12">
        <f t="shared" si="14"/>
        <v>8144.84</v>
      </c>
      <c r="F52" s="12">
        <f t="shared" si="14"/>
        <v>9126.64</v>
      </c>
      <c r="G52" s="12">
        <f t="shared" si="14"/>
        <v>8528.11</v>
      </c>
      <c r="H52" s="12">
        <f t="shared" si="14"/>
        <v>6349.31</v>
      </c>
      <c r="I52" s="12">
        <f t="shared" si="14"/>
        <v>5989.48</v>
      </c>
      <c r="J52" s="12">
        <f t="shared" si="14"/>
        <v>4796</v>
      </c>
      <c r="K52" s="12">
        <f t="shared" si="14"/>
        <v>373.23</v>
      </c>
      <c r="L52" s="12">
        <f t="shared" si="14"/>
        <v>57356.270000000004</v>
      </c>
      <c r="M52" s="12">
        <f t="shared" si="13"/>
        <v>7122.8799999999992</v>
      </c>
    </row>
  </sheetData>
  <mergeCells count="7">
    <mergeCell ref="A14:M14"/>
    <mergeCell ref="A44:M44"/>
    <mergeCell ref="A1:M1"/>
    <mergeCell ref="A34:M34"/>
    <mergeCell ref="A4:M4"/>
    <mergeCell ref="A24:M24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6"/>
  <sheetViews>
    <sheetView zoomScale="85" zoomScaleNormal="85" workbookViewId="0">
      <selection sqref="A1:J1"/>
    </sheetView>
  </sheetViews>
  <sheetFormatPr defaultRowHeight="14.25" x14ac:dyDescent="0.2"/>
  <cols>
    <col min="1" max="1" width="8" customWidth="1"/>
    <col min="2" max="2" width="16" customWidth="1"/>
    <col min="3" max="3" width="24" customWidth="1"/>
    <col min="4" max="4" width="22" customWidth="1"/>
    <col min="5" max="6" width="20" customWidth="1"/>
    <col min="7" max="8" width="18" customWidth="1"/>
    <col min="9" max="9" width="16" customWidth="1"/>
    <col min="10" max="10" width="24" customWidth="1"/>
  </cols>
  <sheetData>
    <row r="1" spans="1:10" ht="27.95" customHeight="1" x14ac:dyDescent="0.2">
      <c r="A1" s="53" t="s">
        <v>142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18" customHeight="1" x14ac:dyDescent="0.2">
      <c r="A2" s="46" t="s">
        <v>143</v>
      </c>
      <c r="B2" s="43"/>
      <c r="C2" s="43"/>
      <c r="D2" s="43"/>
      <c r="E2" s="43"/>
      <c r="F2" s="43"/>
      <c r="G2" s="43"/>
      <c r="H2" s="43"/>
      <c r="I2" s="43"/>
      <c r="J2" s="43"/>
    </row>
    <row r="4" spans="1:10" ht="24" customHeight="1" x14ac:dyDescent="0.2">
      <c r="A4" s="42" t="s">
        <v>144</v>
      </c>
      <c r="B4" s="43"/>
      <c r="C4" s="43"/>
      <c r="D4" s="43"/>
      <c r="E4" s="43"/>
      <c r="F4" s="43"/>
      <c r="G4" s="43"/>
      <c r="H4" s="43"/>
      <c r="I4" s="43"/>
      <c r="J4" s="43"/>
    </row>
    <row r="5" spans="1:10" ht="27.95" customHeight="1" x14ac:dyDescent="0.2">
      <c r="A5" s="1" t="s">
        <v>21</v>
      </c>
      <c r="B5" s="1" t="s">
        <v>46</v>
      </c>
      <c r="C5" s="1" t="s">
        <v>145</v>
      </c>
      <c r="D5" s="1" t="s">
        <v>24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146</v>
      </c>
      <c r="J5" s="1" t="s">
        <v>30</v>
      </c>
    </row>
    <row r="6" spans="1:10" ht="18.95" customHeight="1" x14ac:dyDescent="0.2">
      <c r="A6" s="2">
        <v>1</v>
      </c>
      <c r="B6" s="2" t="s">
        <v>48</v>
      </c>
      <c r="C6" s="3" t="s">
        <v>49</v>
      </c>
      <c r="D6" s="4">
        <v>1488.1</v>
      </c>
      <c r="E6" s="4">
        <v>675.8</v>
      </c>
      <c r="F6" s="4">
        <v>844.1</v>
      </c>
      <c r="G6" s="4">
        <v>120.5</v>
      </c>
      <c r="H6" s="4">
        <v>150.69999999999999</v>
      </c>
      <c r="I6" s="5">
        <v>0.77879999999999994</v>
      </c>
      <c r="J6" s="4">
        <v>2230.14</v>
      </c>
    </row>
    <row r="7" spans="1:10" ht="18.95" customHeight="1" x14ac:dyDescent="0.2">
      <c r="A7" s="6">
        <v>2</v>
      </c>
      <c r="B7" s="6" t="s">
        <v>50</v>
      </c>
      <c r="C7" s="7" t="s">
        <v>51</v>
      </c>
      <c r="D7" s="8">
        <v>1494.6</v>
      </c>
      <c r="E7" s="8">
        <v>574.4</v>
      </c>
      <c r="F7" s="8">
        <v>950.5</v>
      </c>
      <c r="G7" s="8">
        <v>131</v>
      </c>
      <c r="H7" s="8">
        <v>160</v>
      </c>
      <c r="I7" s="9">
        <v>0.72430000000000005</v>
      </c>
      <c r="J7" s="8">
        <v>1895.52</v>
      </c>
    </row>
    <row r="8" spans="1:10" ht="18.95" customHeight="1" x14ac:dyDescent="0.2">
      <c r="A8" s="2">
        <v>3</v>
      </c>
      <c r="B8" s="2" t="s">
        <v>52</v>
      </c>
      <c r="C8" s="3" t="s">
        <v>53</v>
      </c>
      <c r="D8" s="4">
        <v>2959.8</v>
      </c>
      <c r="E8" s="4">
        <v>893.1</v>
      </c>
      <c r="F8" s="4">
        <v>2100.6</v>
      </c>
      <c r="G8" s="4">
        <v>134.1</v>
      </c>
      <c r="H8" s="4">
        <v>166.8</v>
      </c>
      <c r="I8" s="5">
        <v>0.82779999999999998</v>
      </c>
      <c r="J8" s="4">
        <v>2947.23</v>
      </c>
    </row>
    <row r="9" spans="1:10" ht="18.95" customHeight="1" x14ac:dyDescent="0.2">
      <c r="A9" s="6">
        <v>4</v>
      </c>
      <c r="B9" s="6" t="s">
        <v>54</v>
      </c>
      <c r="C9" s="7" t="s">
        <v>55</v>
      </c>
      <c r="D9" s="8">
        <v>3247.1</v>
      </c>
      <c r="E9" s="8">
        <v>876.5</v>
      </c>
      <c r="F9" s="8">
        <v>2396.4</v>
      </c>
      <c r="G9" s="8">
        <v>70.5</v>
      </c>
      <c r="H9" s="8">
        <v>95.7</v>
      </c>
      <c r="I9" s="9">
        <v>0.89049999999999996</v>
      </c>
      <c r="J9" s="8">
        <v>2892.45</v>
      </c>
    </row>
    <row r="10" spans="1:10" ht="18.95" customHeight="1" x14ac:dyDescent="0.2">
      <c r="A10" s="2">
        <v>5</v>
      </c>
      <c r="B10" s="2" t="s">
        <v>56</v>
      </c>
      <c r="C10" s="3" t="s">
        <v>57</v>
      </c>
      <c r="D10" s="4">
        <v>2679.5</v>
      </c>
      <c r="E10" s="4">
        <v>747</v>
      </c>
      <c r="F10" s="4">
        <v>1966.3</v>
      </c>
      <c r="G10" s="4">
        <v>130</v>
      </c>
      <c r="H10" s="4">
        <v>162.69999999999999</v>
      </c>
      <c r="I10" s="5">
        <v>0.78129999999999999</v>
      </c>
      <c r="J10" s="4">
        <v>2465.1</v>
      </c>
    </row>
    <row r="11" spans="1:10" ht="18.95" customHeight="1" x14ac:dyDescent="0.2">
      <c r="A11" s="6">
        <v>6</v>
      </c>
      <c r="B11" s="6" t="s">
        <v>58</v>
      </c>
      <c r="C11" s="7" t="s">
        <v>59</v>
      </c>
      <c r="D11" s="8">
        <v>1066.2</v>
      </c>
      <c r="E11" s="8">
        <v>581.29999999999995</v>
      </c>
      <c r="F11" s="8">
        <v>525.6</v>
      </c>
      <c r="G11" s="8">
        <v>166.9</v>
      </c>
      <c r="H11" s="8">
        <v>206.3</v>
      </c>
      <c r="I11" s="9">
        <v>0.62790000000000001</v>
      </c>
      <c r="J11" s="8">
        <v>1918.29</v>
      </c>
    </row>
    <row r="12" spans="1:10" ht="18.95" customHeight="1" x14ac:dyDescent="0.2">
      <c r="A12" s="2">
        <v>7</v>
      </c>
      <c r="B12" s="2" t="s">
        <v>60</v>
      </c>
      <c r="C12" s="3" t="s">
        <v>61</v>
      </c>
      <c r="D12" s="4">
        <v>1382.6</v>
      </c>
      <c r="E12" s="4">
        <v>583.29999999999995</v>
      </c>
      <c r="F12" s="4">
        <v>834.8</v>
      </c>
      <c r="G12" s="4">
        <v>137.69999999999999</v>
      </c>
      <c r="H12" s="4">
        <v>172.4</v>
      </c>
      <c r="I12" s="5">
        <v>0.70909999999999995</v>
      </c>
      <c r="J12" s="4">
        <v>1924.89</v>
      </c>
    </row>
    <row r="13" spans="1:10" ht="18.95" customHeight="1" x14ac:dyDescent="0.2">
      <c r="A13" s="6">
        <v>8</v>
      </c>
      <c r="B13" s="6" t="s">
        <v>62</v>
      </c>
      <c r="C13" s="7" t="s">
        <v>63</v>
      </c>
      <c r="D13" s="8">
        <v>873.8</v>
      </c>
      <c r="E13" s="8">
        <v>538.20000000000005</v>
      </c>
      <c r="F13" s="8">
        <v>368.4</v>
      </c>
      <c r="G13" s="8">
        <v>182.7</v>
      </c>
      <c r="H13" s="8">
        <v>215.1</v>
      </c>
      <c r="I13" s="9">
        <v>0.60240000000000005</v>
      </c>
      <c r="J13" s="8">
        <v>1776.06</v>
      </c>
    </row>
    <row r="14" spans="1:10" ht="18.95" customHeight="1" x14ac:dyDescent="0.2">
      <c r="A14" s="2">
        <v>9</v>
      </c>
      <c r="B14" s="2" t="s">
        <v>64</v>
      </c>
      <c r="C14" s="3" t="s">
        <v>65</v>
      </c>
      <c r="D14" s="4">
        <v>150.4</v>
      </c>
      <c r="E14" s="4">
        <v>50.6</v>
      </c>
      <c r="F14" s="4">
        <v>104.9</v>
      </c>
      <c r="G14" s="4">
        <v>15.7</v>
      </c>
      <c r="H14" s="4">
        <v>20.8</v>
      </c>
      <c r="I14" s="5">
        <v>0.59089999999999998</v>
      </c>
      <c r="J14" s="4">
        <v>166.98</v>
      </c>
    </row>
    <row r="15" spans="1:10" ht="21.95" customHeight="1" x14ac:dyDescent="0.2">
      <c r="A15" s="10" t="s">
        <v>42</v>
      </c>
      <c r="B15" s="10" t="s">
        <v>147</v>
      </c>
      <c r="C15" s="11" t="s">
        <v>67</v>
      </c>
      <c r="D15" s="12">
        <f>SUM(D6:D14)</f>
        <v>15342.1</v>
      </c>
      <c r="E15" s="12">
        <f>SUM(E6:E14)</f>
        <v>5520.2</v>
      </c>
      <c r="F15" s="12">
        <f>SUM(F6:F14)</f>
        <v>10091.599999999999</v>
      </c>
      <c r="G15" s="12">
        <f>SUM(G6:G14)</f>
        <v>1089.1000000000001</v>
      </c>
      <c r="H15" s="12">
        <f>SUM(H6:H14)</f>
        <v>1350.5</v>
      </c>
      <c r="I15" s="13">
        <f>AVERAGE(I6:I14)</f>
        <v>0.72588888888888903</v>
      </c>
      <c r="J15" s="12">
        <f>SUM(J6:J14)</f>
        <v>18216.66</v>
      </c>
    </row>
    <row r="16" spans="1:10" ht="20.100000000000001" customHeight="1" x14ac:dyDescent="0.2">
      <c r="A16" s="14" t="s">
        <v>42</v>
      </c>
      <c r="B16" s="14" t="s">
        <v>148</v>
      </c>
      <c r="C16" s="15" t="s">
        <v>149</v>
      </c>
      <c r="D16" s="16">
        <f t="shared" ref="D16:J16" si="0">AVERAGE(D6:D14)</f>
        <v>1704.6777777777779</v>
      </c>
      <c r="E16" s="16">
        <f t="shared" si="0"/>
        <v>613.3555555555555</v>
      </c>
      <c r="F16" s="16">
        <f t="shared" si="0"/>
        <v>1121.2888888888888</v>
      </c>
      <c r="G16" s="16">
        <f t="shared" si="0"/>
        <v>121.01111111111112</v>
      </c>
      <c r="H16" s="16">
        <f t="shared" si="0"/>
        <v>150.05555555555554</v>
      </c>
      <c r="I16" s="17">
        <f t="shared" si="0"/>
        <v>0.72588888888888903</v>
      </c>
      <c r="J16" s="16">
        <f t="shared" si="0"/>
        <v>2024.0733333333333</v>
      </c>
    </row>
    <row r="18" spans="1:10" ht="24" customHeight="1" x14ac:dyDescent="0.2">
      <c r="A18" s="42" t="s">
        <v>150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27.95" customHeight="1" x14ac:dyDescent="0.2">
      <c r="A19" s="1" t="s">
        <v>21</v>
      </c>
      <c r="B19" s="1" t="s">
        <v>46</v>
      </c>
      <c r="C19" s="1" t="s">
        <v>145</v>
      </c>
      <c r="D19" s="1" t="s">
        <v>24</v>
      </c>
      <c r="E19" s="1" t="s">
        <v>26</v>
      </c>
      <c r="F19" s="1" t="s">
        <v>27</v>
      </c>
      <c r="G19" s="1" t="s">
        <v>28</v>
      </c>
      <c r="H19" s="1" t="s">
        <v>29</v>
      </c>
      <c r="I19" s="1" t="s">
        <v>146</v>
      </c>
      <c r="J19" s="1" t="s">
        <v>30</v>
      </c>
    </row>
    <row r="20" spans="1:10" ht="18.95" customHeight="1" x14ac:dyDescent="0.2">
      <c r="A20" s="2">
        <v>1</v>
      </c>
      <c r="B20" s="2" t="s">
        <v>48</v>
      </c>
      <c r="C20" s="3" t="s">
        <v>49</v>
      </c>
      <c r="D20" s="4">
        <v>1292.8</v>
      </c>
      <c r="E20" s="4">
        <v>797.6</v>
      </c>
      <c r="F20" s="4">
        <v>495.5</v>
      </c>
      <c r="G20" s="4">
        <v>180.3</v>
      </c>
      <c r="H20" s="4">
        <v>180</v>
      </c>
      <c r="I20" s="5">
        <v>0.77359999999999995</v>
      </c>
      <c r="J20" s="4">
        <v>2632.08</v>
      </c>
    </row>
    <row r="21" spans="1:10" ht="18.95" customHeight="1" x14ac:dyDescent="0.2">
      <c r="A21" s="6">
        <v>2</v>
      </c>
      <c r="B21" s="6" t="s">
        <v>50</v>
      </c>
      <c r="C21" s="7" t="s">
        <v>51</v>
      </c>
      <c r="D21" s="8">
        <v>1415.2</v>
      </c>
      <c r="E21" s="8">
        <v>641.5</v>
      </c>
      <c r="F21" s="8">
        <v>782.3</v>
      </c>
      <c r="G21" s="8">
        <v>117.3</v>
      </c>
      <c r="H21" s="8">
        <v>125.7</v>
      </c>
      <c r="I21" s="9">
        <v>0.80370000000000008</v>
      </c>
      <c r="J21" s="8">
        <v>2116.9499999999998</v>
      </c>
    </row>
    <row r="22" spans="1:10" ht="18.95" customHeight="1" x14ac:dyDescent="0.2">
      <c r="A22" s="2">
        <v>3</v>
      </c>
      <c r="B22" s="2" t="s">
        <v>52</v>
      </c>
      <c r="C22" s="3" t="s">
        <v>53</v>
      </c>
      <c r="D22" s="4">
        <v>1264.3</v>
      </c>
      <c r="E22" s="4">
        <v>410.9</v>
      </c>
      <c r="F22" s="4">
        <v>854.6</v>
      </c>
      <c r="G22" s="4">
        <v>20</v>
      </c>
      <c r="H22" s="4">
        <v>20.3</v>
      </c>
      <c r="I22" s="5">
        <v>0.94590000000000007</v>
      </c>
      <c r="J22" s="4">
        <v>1355.97</v>
      </c>
    </row>
    <row r="23" spans="1:10" ht="18.95" customHeight="1" x14ac:dyDescent="0.2">
      <c r="A23" s="6">
        <v>4</v>
      </c>
      <c r="B23" s="6" t="s">
        <v>54</v>
      </c>
      <c r="C23" s="7" t="s">
        <v>55</v>
      </c>
      <c r="D23" s="8">
        <v>2009.4</v>
      </c>
      <c r="E23" s="8">
        <v>511.7</v>
      </c>
      <c r="F23" s="8">
        <v>1498.6</v>
      </c>
      <c r="G23" s="8">
        <v>0</v>
      </c>
      <c r="H23" s="8">
        <v>0.5</v>
      </c>
      <c r="I23" s="9">
        <v>0.99919999999999998</v>
      </c>
      <c r="J23" s="8">
        <v>1688.61</v>
      </c>
    </row>
    <row r="24" spans="1:10" ht="18.95" customHeight="1" x14ac:dyDescent="0.2">
      <c r="A24" s="2">
        <v>5</v>
      </c>
      <c r="B24" s="2" t="s">
        <v>56</v>
      </c>
      <c r="C24" s="3" t="s">
        <v>57</v>
      </c>
      <c r="D24" s="4">
        <v>1817.7</v>
      </c>
      <c r="E24" s="4">
        <v>437.2</v>
      </c>
      <c r="F24" s="4">
        <v>1381.9</v>
      </c>
      <c r="G24" s="4">
        <v>0</v>
      </c>
      <c r="H24" s="4">
        <v>0.1</v>
      </c>
      <c r="I24" s="5">
        <v>0.99980000000000002</v>
      </c>
      <c r="J24" s="4">
        <v>1442.76</v>
      </c>
    </row>
    <row r="25" spans="1:10" ht="18.95" customHeight="1" x14ac:dyDescent="0.2">
      <c r="A25" s="6">
        <v>6</v>
      </c>
      <c r="B25" s="6" t="s">
        <v>58</v>
      </c>
      <c r="C25" s="7" t="s">
        <v>59</v>
      </c>
      <c r="D25" s="8">
        <v>600.5</v>
      </c>
      <c r="E25" s="8">
        <v>275.39999999999998</v>
      </c>
      <c r="F25" s="8">
        <v>343.9</v>
      </c>
      <c r="G25" s="8">
        <v>61.2</v>
      </c>
      <c r="H25" s="8">
        <v>80</v>
      </c>
      <c r="I25" s="9">
        <v>0.72799999999999998</v>
      </c>
      <c r="J25" s="8">
        <v>908.82</v>
      </c>
    </row>
    <row r="26" spans="1:10" ht="18.95" customHeight="1" x14ac:dyDescent="0.2">
      <c r="A26" s="2">
        <v>7</v>
      </c>
      <c r="B26" s="2" t="s">
        <v>60</v>
      </c>
      <c r="C26" s="3" t="s">
        <v>61</v>
      </c>
      <c r="D26" s="4">
        <v>600.29999999999995</v>
      </c>
      <c r="E26" s="4">
        <v>237.3</v>
      </c>
      <c r="F26" s="4">
        <v>371.8</v>
      </c>
      <c r="G26" s="4">
        <v>70.099999999999994</v>
      </c>
      <c r="H26" s="4">
        <v>78.900000000000006</v>
      </c>
      <c r="I26" s="5">
        <v>0.69319999999999993</v>
      </c>
      <c r="J26" s="4">
        <v>783.09</v>
      </c>
    </row>
    <row r="27" spans="1:10" ht="18.95" customHeight="1" x14ac:dyDescent="0.2">
      <c r="A27" s="6">
        <v>8</v>
      </c>
      <c r="B27" s="6" t="s">
        <v>62</v>
      </c>
      <c r="C27" s="7" t="s">
        <v>63</v>
      </c>
      <c r="D27" s="8">
        <v>323.8</v>
      </c>
      <c r="E27" s="8">
        <v>212.6</v>
      </c>
      <c r="F27" s="8">
        <v>122</v>
      </c>
      <c r="G27" s="8">
        <v>77.900000000000006</v>
      </c>
      <c r="H27" s="8">
        <v>88.7</v>
      </c>
      <c r="I27" s="9">
        <v>0.58979999999999999</v>
      </c>
      <c r="J27" s="8">
        <v>701.58</v>
      </c>
    </row>
    <row r="28" spans="1:10" ht="18.95" customHeight="1" x14ac:dyDescent="0.2">
      <c r="A28" s="2">
        <v>9</v>
      </c>
      <c r="B28" s="2" t="s">
        <v>64</v>
      </c>
      <c r="C28" s="3" t="s">
        <v>65</v>
      </c>
      <c r="D28" s="4">
        <v>22.3</v>
      </c>
      <c r="E28" s="4">
        <v>18.899999999999999</v>
      </c>
      <c r="F28" s="4">
        <v>5.3</v>
      </c>
      <c r="G28" s="4">
        <v>2.6</v>
      </c>
      <c r="H28" s="4">
        <v>4.5</v>
      </c>
      <c r="I28" s="5">
        <v>0.76190000000000002</v>
      </c>
      <c r="J28" s="4">
        <v>62.37</v>
      </c>
    </row>
    <row r="29" spans="1:10" ht="21.95" customHeight="1" x14ac:dyDescent="0.2">
      <c r="A29" s="10" t="s">
        <v>42</v>
      </c>
      <c r="B29" s="10" t="s">
        <v>147</v>
      </c>
      <c r="C29" s="11" t="s">
        <v>67</v>
      </c>
      <c r="D29" s="12">
        <f>SUM(D20:D28)</f>
        <v>9346.2999999999993</v>
      </c>
      <c r="E29" s="12">
        <f>SUM(E20:E28)</f>
        <v>3543.1</v>
      </c>
      <c r="F29" s="12">
        <f>SUM(F20:F28)</f>
        <v>5855.9</v>
      </c>
      <c r="G29" s="12">
        <f>SUM(G20:G28)</f>
        <v>529.4</v>
      </c>
      <c r="H29" s="12">
        <f>SUM(H20:H28)</f>
        <v>578.70000000000005</v>
      </c>
      <c r="I29" s="13">
        <f>AVERAGE(I20:I28)</f>
        <v>0.81056666666666666</v>
      </c>
      <c r="J29" s="12">
        <f>SUM(J20:J28)</f>
        <v>11692.23</v>
      </c>
    </row>
    <row r="30" spans="1:10" ht="20.100000000000001" customHeight="1" x14ac:dyDescent="0.2">
      <c r="A30" s="14" t="s">
        <v>42</v>
      </c>
      <c r="B30" s="14" t="s">
        <v>148</v>
      </c>
      <c r="C30" s="15" t="s">
        <v>149</v>
      </c>
      <c r="D30" s="16">
        <f t="shared" ref="D30:J30" si="1">AVERAGE(D20:D28)</f>
        <v>1038.4777777777776</v>
      </c>
      <c r="E30" s="16">
        <f t="shared" si="1"/>
        <v>393.67777777777775</v>
      </c>
      <c r="F30" s="16">
        <f t="shared" si="1"/>
        <v>650.65555555555557</v>
      </c>
      <c r="G30" s="16">
        <f t="shared" si="1"/>
        <v>58.822222222222223</v>
      </c>
      <c r="H30" s="16">
        <f t="shared" si="1"/>
        <v>64.300000000000011</v>
      </c>
      <c r="I30" s="17">
        <f t="shared" si="1"/>
        <v>0.81056666666666666</v>
      </c>
      <c r="J30" s="16">
        <f t="shared" si="1"/>
        <v>1299.1366666666665</v>
      </c>
    </row>
    <row r="32" spans="1:10" ht="24" customHeight="1" x14ac:dyDescent="0.2">
      <c r="A32" s="42" t="s">
        <v>151</v>
      </c>
      <c r="B32" s="43"/>
      <c r="C32" s="43"/>
      <c r="D32" s="43"/>
      <c r="E32" s="43"/>
      <c r="F32" s="43"/>
      <c r="G32" s="43"/>
      <c r="H32" s="43"/>
      <c r="I32" s="43"/>
      <c r="J32" s="43"/>
    </row>
    <row r="33" spans="1:10" ht="27.95" customHeight="1" x14ac:dyDescent="0.2">
      <c r="A33" s="1" t="s">
        <v>21</v>
      </c>
      <c r="B33" s="1" t="s">
        <v>46</v>
      </c>
      <c r="C33" s="1" t="s">
        <v>145</v>
      </c>
      <c r="D33" s="1" t="s">
        <v>24</v>
      </c>
      <c r="E33" s="1" t="s">
        <v>26</v>
      </c>
      <c r="F33" s="1" t="s">
        <v>27</v>
      </c>
      <c r="G33" s="1" t="s">
        <v>28</v>
      </c>
      <c r="H33" s="1" t="s">
        <v>29</v>
      </c>
      <c r="I33" s="1" t="s">
        <v>146</v>
      </c>
      <c r="J33" s="1" t="s">
        <v>30</v>
      </c>
    </row>
    <row r="34" spans="1:10" ht="18.95" customHeight="1" x14ac:dyDescent="0.2">
      <c r="A34" s="2">
        <v>1</v>
      </c>
      <c r="B34" s="2" t="s">
        <v>52</v>
      </c>
      <c r="C34" s="3" t="s">
        <v>53</v>
      </c>
      <c r="D34" s="4">
        <v>137.9</v>
      </c>
      <c r="E34" s="4">
        <v>131.5</v>
      </c>
      <c r="F34" s="4">
        <v>17.899999999999999</v>
      </c>
      <c r="G34" s="4">
        <v>38.9</v>
      </c>
      <c r="H34" s="4">
        <v>48.9</v>
      </c>
      <c r="I34" s="5">
        <v>0.62509999999999999</v>
      </c>
      <c r="J34" s="4">
        <v>0</v>
      </c>
    </row>
    <row r="35" spans="1:10" ht="18.95" customHeight="1" x14ac:dyDescent="0.2">
      <c r="A35" s="6">
        <v>2</v>
      </c>
      <c r="B35" s="6" t="s">
        <v>54</v>
      </c>
      <c r="C35" s="7" t="s">
        <v>55</v>
      </c>
      <c r="D35" s="8">
        <v>1494.3</v>
      </c>
      <c r="E35" s="8">
        <v>452.1</v>
      </c>
      <c r="F35" s="8">
        <v>1039.5</v>
      </c>
      <c r="G35" s="8">
        <v>86</v>
      </c>
      <c r="H35" s="8">
        <v>83.2</v>
      </c>
      <c r="I35" s="9">
        <v>0.82750000000000001</v>
      </c>
      <c r="J35" s="8">
        <v>0</v>
      </c>
    </row>
    <row r="36" spans="1:10" ht="18.95" customHeight="1" x14ac:dyDescent="0.2">
      <c r="A36" s="2">
        <v>3</v>
      </c>
      <c r="B36" s="2" t="s">
        <v>56</v>
      </c>
      <c r="C36" s="3" t="s">
        <v>57</v>
      </c>
      <c r="D36" s="4">
        <v>1383.5</v>
      </c>
      <c r="E36" s="4">
        <v>514.29999999999995</v>
      </c>
      <c r="F36" s="4">
        <v>898.8</v>
      </c>
      <c r="G36" s="4">
        <v>214.1</v>
      </c>
      <c r="H36" s="4">
        <v>243.7</v>
      </c>
      <c r="I36" s="5">
        <v>0.78870000000000007</v>
      </c>
      <c r="J36" s="4">
        <v>0</v>
      </c>
    </row>
    <row r="37" spans="1:10" ht="18.95" customHeight="1" x14ac:dyDescent="0.2">
      <c r="A37" s="6">
        <v>4</v>
      </c>
      <c r="B37" s="6" t="s">
        <v>58</v>
      </c>
      <c r="C37" s="7" t="s">
        <v>59</v>
      </c>
      <c r="D37" s="8">
        <v>1021.6</v>
      </c>
      <c r="E37" s="8">
        <v>497.8</v>
      </c>
      <c r="F37" s="8">
        <v>566.5</v>
      </c>
      <c r="G37" s="8">
        <v>146.4</v>
      </c>
      <c r="H37" s="8">
        <v>189.1</v>
      </c>
      <c r="I37" s="9">
        <v>0.75230000000000008</v>
      </c>
      <c r="J37" s="8">
        <v>0</v>
      </c>
    </row>
    <row r="38" spans="1:10" ht="18.95" customHeight="1" x14ac:dyDescent="0.2">
      <c r="A38" s="2">
        <v>5</v>
      </c>
      <c r="B38" s="2" t="s">
        <v>60</v>
      </c>
      <c r="C38" s="3" t="s">
        <v>61</v>
      </c>
      <c r="D38" s="4">
        <v>1166.7</v>
      </c>
      <c r="E38" s="4">
        <v>404.9</v>
      </c>
      <c r="F38" s="4">
        <v>786</v>
      </c>
      <c r="G38" s="4">
        <v>131.9</v>
      </c>
      <c r="H38" s="4">
        <v>156.1</v>
      </c>
      <c r="I38" s="5">
        <v>0.87139999999999995</v>
      </c>
      <c r="J38" s="4">
        <v>0</v>
      </c>
    </row>
    <row r="39" spans="1:10" ht="18.95" customHeight="1" x14ac:dyDescent="0.2">
      <c r="A39" s="6">
        <v>6</v>
      </c>
      <c r="B39" s="6" t="s">
        <v>62</v>
      </c>
      <c r="C39" s="7" t="s">
        <v>63</v>
      </c>
      <c r="D39" s="8">
        <v>867.3</v>
      </c>
      <c r="E39" s="8">
        <v>395.5</v>
      </c>
      <c r="F39" s="8">
        <v>493.6</v>
      </c>
      <c r="G39" s="8">
        <v>164.1</v>
      </c>
      <c r="H39" s="8">
        <v>185.9</v>
      </c>
      <c r="I39" s="9">
        <v>0.80459999999999998</v>
      </c>
      <c r="J39" s="8">
        <v>0</v>
      </c>
    </row>
    <row r="40" spans="1:10" ht="18.95" customHeight="1" x14ac:dyDescent="0.2">
      <c r="A40" s="2">
        <v>7</v>
      </c>
      <c r="B40" s="2" t="s">
        <v>64</v>
      </c>
      <c r="C40" s="3" t="s">
        <v>65</v>
      </c>
      <c r="D40" s="4">
        <v>36.700000000000003</v>
      </c>
      <c r="E40" s="4">
        <v>23.9</v>
      </c>
      <c r="F40" s="4">
        <v>19.5</v>
      </c>
      <c r="G40" s="4">
        <v>9.8000000000000007</v>
      </c>
      <c r="H40" s="4">
        <v>16.5</v>
      </c>
      <c r="I40" s="5">
        <v>0.93310000000000004</v>
      </c>
      <c r="J40" s="4">
        <v>0</v>
      </c>
    </row>
    <row r="41" spans="1:10" ht="21.95" customHeight="1" x14ac:dyDescent="0.2">
      <c r="A41" s="10" t="s">
        <v>42</v>
      </c>
      <c r="B41" s="10" t="s">
        <v>147</v>
      </c>
      <c r="C41" s="11" t="s">
        <v>152</v>
      </c>
      <c r="D41" s="12">
        <f>SUM(D34:D40)</f>
        <v>6108</v>
      </c>
      <c r="E41" s="12">
        <f>SUM(E34:E40)</f>
        <v>2420</v>
      </c>
      <c r="F41" s="12">
        <f>SUM(F34:F40)</f>
        <v>3821.7999999999997</v>
      </c>
      <c r="G41" s="12">
        <f>SUM(G34:G40)</f>
        <v>791.19999999999993</v>
      </c>
      <c r="H41" s="12">
        <f>SUM(H34:H40)</f>
        <v>923.4</v>
      </c>
      <c r="I41" s="13">
        <f>AVERAGE(I34:I40)</f>
        <v>0.80038571428571437</v>
      </c>
      <c r="J41" s="12">
        <f>SUM(J34:J40)</f>
        <v>0</v>
      </c>
    </row>
    <row r="42" spans="1:10" ht="20.100000000000001" customHeight="1" x14ac:dyDescent="0.2">
      <c r="A42" s="14" t="s">
        <v>42</v>
      </c>
      <c r="B42" s="14" t="s">
        <v>148</v>
      </c>
      <c r="C42" s="15" t="s">
        <v>149</v>
      </c>
      <c r="D42" s="16">
        <f t="shared" ref="D42:J42" si="2">AVERAGE(D34:D40)</f>
        <v>872.57142857142856</v>
      </c>
      <c r="E42" s="16">
        <f t="shared" si="2"/>
        <v>345.71428571428572</v>
      </c>
      <c r="F42" s="16">
        <f t="shared" si="2"/>
        <v>545.97142857142853</v>
      </c>
      <c r="G42" s="16">
        <f t="shared" si="2"/>
        <v>113.02857142857142</v>
      </c>
      <c r="H42" s="16">
        <f t="shared" si="2"/>
        <v>131.91428571428571</v>
      </c>
      <c r="I42" s="17">
        <f t="shared" si="2"/>
        <v>0.80038571428571437</v>
      </c>
      <c r="J42" s="16">
        <f t="shared" si="2"/>
        <v>0</v>
      </c>
    </row>
    <row r="44" spans="1:10" ht="24" customHeight="1" x14ac:dyDescent="0.2">
      <c r="A44" s="42" t="s">
        <v>153</v>
      </c>
      <c r="B44" s="43"/>
      <c r="C44" s="43"/>
      <c r="D44" s="43"/>
      <c r="E44" s="43"/>
      <c r="F44" s="43"/>
      <c r="G44" s="43"/>
      <c r="H44" s="43"/>
      <c r="I44" s="43"/>
      <c r="J44" s="43"/>
    </row>
    <row r="45" spans="1:10" ht="27.95" customHeight="1" x14ac:dyDescent="0.2">
      <c r="A45" s="1" t="s">
        <v>21</v>
      </c>
      <c r="B45" s="1" t="s">
        <v>46</v>
      </c>
      <c r="C45" s="1" t="s">
        <v>145</v>
      </c>
      <c r="D45" s="1" t="s">
        <v>24</v>
      </c>
      <c r="E45" s="1" t="s">
        <v>26</v>
      </c>
      <c r="F45" s="1" t="s">
        <v>27</v>
      </c>
      <c r="G45" s="1" t="s">
        <v>28</v>
      </c>
      <c r="H45" s="1" t="s">
        <v>29</v>
      </c>
      <c r="I45" s="1" t="s">
        <v>146</v>
      </c>
      <c r="J45" s="1" t="s">
        <v>30</v>
      </c>
    </row>
    <row r="46" spans="1:10" ht="18.95" customHeight="1" x14ac:dyDescent="0.2">
      <c r="A46" s="2">
        <v>1</v>
      </c>
      <c r="B46" s="2" t="s">
        <v>62</v>
      </c>
      <c r="C46" s="3" t="s">
        <v>63</v>
      </c>
      <c r="D46" s="4">
        <v>157.30000000000001</v>
      </c>
      <c r="E46" s="4">
        <v>52.9</v>
      </c>
      <c r="F46" s="4">
        <v>109.2</v>
      </c>
      <c r="G46" s="4">
        <v>2.4</v>
      </c>
      <c r="H46" s="4">
        <v>4.8</v>
      </c>
      <c r="I46" s="5">
        <v>0.88470000000000004</v>
      </c>
      <c r="J46" s="4">
        <v>174.57</v>
      </c>
    </row>
    <row r="47" spans="1:10" ht="18.95" customHeight="1" x14ac:dyDescent="0.2">
      <c r="A47" s="6">
        <v>2</v>
      </c>
      <c r="B47" s="6" t="s">
        <v>64</v>
      </c>
      <c r="C47" s="7" t="s">
        <v>65</v>
      </c>
      <c r="D47" s="8">
        <v>30.1</v>
      </c>
      <c r="E47" s="8">
        <v>21.6</v>
      </c>
      <c r="F47" s="8">
        <v>13.1</v>
      </c>
      <c r="G47" s="8">
        <v>0.2</v>
      </c>
      <c r="H47" s="8">
        <v>3.1</v>
      </c>
      <c r="I47" s="9">
        <v>0.82409999999999994</v>
      </c>
      <c r="J47" s="8">
        <v>71.28</v>
      </c>
    </row>
    <row r="48" spans="1:10" ht="21.95" customHeight="1" x14ac:dyDescent="0.2">
      <c r="A48" s="10" t="s">
        <v>42</v>
      </c>
      <c r="B48" s="10" t="s">
        <v>147</v>
      </c>
      <c r="C48" s="11" t="s">
        <v>154</v>
      </c>
      <c r="D48" s="12">
        <f>SUM(D46:D47)</f>
        <v>187.4</v>
      </c>
      <c r="E48" s="12">
        <f>SUM(E46:E47)</f>
        <v>74.5</v>
      </c>
      <c r="F48" s="12">
        <f>SUM(F46:F47)</f>
        <v>122.3</v>
      </c>
      <c r="G48" s="12">
        <f>SUM(G46:G47)</f>
        <v>2.6</v>
      </c>
      <c r="H48" s="12">
        <f>SUM(H46:H47)</f>
        <v>7.9</v>
      </c>
      <c r="I48" s="13">
        <f>AVERAGE(I46:I47)</f>
        <v>0.85440000000000005</v>
      </c>
      <c r="J48" s="12">
        <f>SUM(J46:J47)</f>
        <v>245.85</v>
      </c>
    </row>
    <row r="49" spans="1:10" ht="20.100000000000001" customHeight="1" x14ac:dyDescent="0.2">
      <c r="A49" s="14" t="s">
        <v>42</v>
      </c>
      <c r="B49" s="14" t="s">
        <v>148</v>
      </c>
      <c r="C49" s="15" t="s">
        <v>149</v>
      </c>
      <c r="D49" s="16">
        <f t="shared" ref="D49:J49" si="3">AVERAGE(D46:D47)</f>
        <v>93.7</v>
      </c>
      <c r="E49" s="16">
        <f t="shared" si="3"/>
        <v>37.25</v>
      </c>
      <c r="F49" s="16">
        <f t="shared" si="3"/>
        <v>61.15</v>
      </c>
      <c r="G49" s="16">
        <f t="shared" si="3"/>
        <v>1.3</v>
      </c>
      <c r="H49" s="16">
        <f t="shared" si="3"/>
        <v>3.95</v>
      </c>
      <c r="I49" s="17">
        <f t="shared" si="3"/>
        <v>0.85440000000000005</v>
      </c>
      <c r="J49" s="16">
        <f t="shared" si="3"/>
        <v>122.925</v>
      </c>
    </row>
    <row r="51" spans="1:10" ht="24" customHeight="1" x14ac:dyDescent="0.2">
      <c r="A51" s="42" t="s">
        <v>155</v>
      </c>
      <c r="B51" s="43"/>
      <c r="C51" s="43"/>
      <c r="D51" s="43"/>
      <c r="E51" s="43"/>
      <c r="F51" s="43"/>
      <c r="G51" s="43"/>
      <c r="H51" s="43"/>
      <c r="I51" s="43"/>
      <c r="J51" s="43"/>
    </row>
    <row r="52" spans="1:10" ht="27.95" customHeight="1" x14ac:dyDescent="0.2">
      <c r="A52" s="1" t="s">
        <v>21</v>
      </c>
      <c r="B52" s="1" t="s">
        <v>46</v>
      </c>
      <c r="C52" s="1" t="s">
        <v>145</v>
      </c>
      <c r="D52" s="1" t="s">
        <v>24</v>
      </c>
      <c r="E52" s="1" t="s">
        <v>26</v>
      </c>
      <c r="F52" s="1" t="s">
        <v>27</v>
      </c>
      <c r="G52" s="1" t="s">
        <v>28</v>
      </c>
      <c r="H52" s="1" t="s">
        <v>29</v>
      </c>
      <c r="I52" s="1" t="s">
        <v>146</v>
      </c>
      <c r="J52" s="1" t="s">
        <v>30</v>
      </c>
    </row>
    <row r="53" spans="1:10" ht="18.95" customHeight="1" x14ac:dyDescent="0.2">
      <c r="A53" s="2">
        <v>1</v>
      </c>
      <c r="B53" s="2" t="s">
        <v>48</v>
      </c>
      <c r="C53" s="3" t="s">
        <v>49</v>
      </c>
      <c r="D53" s="4">
        <v>936.3</v>
      </c>
      <c r="E53" s="4">
        <v>306.8</v>
      </c>
      <c r="F53" s="4">
        <v>651.20000000000005</v>
      </c>
      <c r="G53" s="4">
        <v>0</v>
      </c>
      <c r="H53" s="4">
        <v>21.7</v>
      </c>
      <c r="I53" s="5">
        <v>0.96579999999999999</v>
      </c>
      <c r="J53" s="4">
        <v>1012.44</v>
      </c>
    </row>
    <row r="54" spans="1:10" ht="18.95" customHeight="1" x14ac:dyDescent="0.2">
      <c r="A54" s="6">
        <v>2</v>
      </c>
      <c r="B54" s="6" t="s">
        <v>50</v>
      </c>
      <c r="C54" s="7" t="s">
        <v>51</v>
      </c>
      <c r="D54" s="8">
        <v>1057.0999999999999</v>
      </c>
      <c r="E54" s="8">
        <v>317.3</v>
      </c>
      <c r="F54" s="8">
        <v>755.9</v>
      </c>
      <c r="G54" s="8">
        <v>0</v>
      </c>
      <c r="H54" s="8">
        <v>16</v>
      </c>
      <c r="I54" s="9">
        <v>0.97699999999999998</v>
      </c>
      <c r="J54" s="8">
        <v>1047.0899999999999</v>
      </c>
    </row>
    <row r="55" spans="1:10" ht="18.95" customHeight="1" x14ac:dyDescent="0.2">
      <c r="A55" s="2">
        <v>3</v>
      </c>
      <c r="B55" s="2" t="s">
        <v>52</v>
      </c>
      <c r="C55" s="3" t="s">
        <v>53</v>
      </c>
      <c r="D55" s="4">
        <v>498.8</v>
      </c>
      <c r="E55" s="4">
        <v>242.4</v>
      </c>
      <c r="F55" s="4">
        <v>280.10000000000002</v>
      </c>
      <c r="G55" s="4">
        <v>35.299999999999997</v>
      </c>
      <c r="H55" s="4">
        <v>59</v>
      </c>
      <c r="I55" s="5">
        <v>0.76280000000000003</v>
      </c>
      <c r="J55" s="4">
        <v>799.92</v>
      </c>
    </row>
    <row r="56" spans="1:10" ht="18.95" customHeight="1" x14ac:dyDescent="0.2">
      <c r="A56" s="6">
        <v>4</v>
      </c>
      <c r="B56" s="6" t="s">
        <v>54</v>
      </c>
      <c r="C56" s="7" t="s">
        <v>55</v>
      </c>
      <c r="D56" s="8">
        <v>1020.8</v>
      </c>
      <c r="E56" s="8">
        <v>377.2</v>
      </c>
      <c r="F56" s="8">
        <v>644</v>
      </c>
      <c r="G56" s="8">
        <v>28.3</v>
      </c>
      <c r="H56" s="8">
        <v>27.6</v>
      </c>
      <c r="I56" s="9">
        <v>0.93359999999999999</v>
      </c>
      <c r="J56" s="8">
        <v>1244.76</v>
      </c>
    </row>
    <row r="57" spans="1:10" ht="18.95" customHeight="1" x14ac:dyDescent="0.2">
      <c r="A57" s="2">
        <v>5</v>
      </c>
      <c r="B57" s="2" t="s">
        <v>56</v>
      </c>
      <c r="C57" s="3" t="s">
        <v>57</v>
      </c>
      <c r="D57" s="4">
        <v>1727.2</v>
      </c>
      <c r="E57" s="4">
        <v>418.8</v>
      </c>
      <c r="F57" s="4">
        <v>1325.3</v>
      </c>
      <c r="G57" s="4">
        <v>0</v>
      </c>
      <c r="H57" s="4">
        <v>15.4</v>
      </c>
      <c r="I57" s="5">
        <v>0.97750000000000004</v>
      </c>
      <c r="J57" s="4">
        <v>1382.04</v>
      </c>
    </row>
    <row r="58" spans="1:10" ht="18.95" customHeight="1" x14ac:dyDescent="0.2">
      <c r="A58" s="6">
        <v>6</v>
      </c>
      <c r="B58" s="6" t="s">
        <v>58</v>
      </c>
      <c r="C58" s="7" t="s">
        <v>59</v>
      </c>
      <c r="D58" s="8">
        <v>749.2</v>
      </c>
      <c r="E58" s="8">
        <v>371.8</v>
      </c>
      <c r="F58" s="8">
        <v>373.7</v>
      </c>
      <c r="G58" s="8">
        <v>103.1</v>
      </c>
      <c r="H58" s="8">
        <v>95.5</v>
      </c>
      <c r="I58" s="9">
        <v>0.745</v>
      </c>
      <c r="J58" s="8">
        <v>1226.94</v>
      </c>
    </row>
    <row r="59" spans="1:10" ht="18.95" customHeight="1" x14ac:dyDescent="0.2">
      <c r="A59" s="2">
        <v>7</v>
      </c>
      <c r="B59" s="2" t="s">
        <v>60</v>
      </c>
      <c r="C59" s="3" t="s">
        <v>61</v>
      </c>
      <c r="D59" s="4">
        <v>472.9</v>
      </c>
      <c r="E59" s="4">
        <v>299.3</v>
      </c>
      <c r="F59" s="4">
        <v>139.1</v>
      </c>
      <c r="G59" s="4">
        <v>141</v>
      </c>
      <c r="H59" s="4">
        <v>102.4</v>
      </c>
      <c r="I59" s="5">
        <v>0.65150000000000008</v>
      </c>
      <c r="J59" s="4">
        <v>987.69</v>
      </c>
    </row>
    <row r="60" spans="1:10" ht="18.95" customHeight="1" x14ac:dyDescent="0.2">
      <c r="A60" s="6">
        <v>8</v>
      </c>
      <c r="B60" s="6" t="s">
        <v>62</v>
      </c>
      <c r="C60" s="7" t="s">
        <v>63</v>
      </c>
      <c r="D60" s="8">
        <v>158.4</v>
      </c>
      <c r="E60" s="8">
        <v>58.3</v>
      </c>
      <c r="F60" s="8">
        <v>109.2</v>
      </c>
      <c r="G60" s="8">
        <v>0.9</v>
      </c>
      <c r="H60" s="8">
        <v>7.6</v>
      </c>
      <c r="I60" s="9">
        <v>0.8798999999999999</v>
      </c>
      <c r="J60" s="8">
        <v>192.39</v>
      </c>
    </row>
    <row r="61" spans="1:10" ht="18.95" customHeight="1" x14ac:dyDescent="0.2">
      <c r="A61" s="2">
        <v>9</v>
      </c>
      <c r="B61" s="2" t="s">
        <v>64</v>
      </c>
      <c r="C61" s="3" t="s">
        <v>65</v>
      </c>
      <c r="D61" s="4">
        <v>31.6</v>
      </c>
      <c r="E61" s="4">
        <v>22</v>
      </c>
      <c r="F61" s="4">
        <v>13.3</v>
      </c>
      <c r="G61" s="4">
        <v>0.7</v>
      </c>
      <c r="H61" s="4">
        <v>2.7</v>
      </c>
      <c r="I61" s="5">
        <v>0.88180000000000003</v>
      </c>
      <c r="J61" s="4">
        <v>72.599999999999994</v>
      </c>
    </row>
    <row r="62" spans="1:10" ht="21.95" customHeight="1" x14ac:dyDescent="0.2">
      <c r="A62" s="10" t="s">
        <v>42</v>
      </c>
      <c r="B62" s="10" t="s">
        <v>147</v>
      </c>
      <c r="C62" s="11" t="s">
        <v>67</v>
      </c>
      <c r="D62" s="12">
        <f>SUM(D53:D61)</f>
        <v>6652.2999999999993</v>
      </c>
      <c r="E62" s="12">
        <f>SUM(E53:E61)</f>
        <v>2413.9</v>
      </c>
      <c r="F62" s="12">
        <f>SUM(F53:F61)</f>
        <v>4291.8</v>
      </c>
      <c r="G62" s="12">
        <f>SUM(G53:G61)</f>
        <v>309.29999999999995</v>
      </c>
      <c r="H62" s="12">
        <f>SUM(H53:H61)</f>
        <v>347.90000000000003</v>
      </c>
      <c r="I62" s="13">
        <f>AVERAGE(I53:I61)</f>
        <v>0.86387777777777786</v>
      </c>
      <c r="J62" s="12">
        <f>SUM(J53:J61)</f>
        <v>7965.8700000000017</v>
      </c>
    </row>
    <row r="63" spans="1:10" ht="20.100000000000001" customHeight="1" x14ac:dyDescent="0.2">
      <c r="A63" s="14" t="s">
        <v>42</v>
      </c>
      <c r="B63" s="14" t="s">
        <v>148</v>
      </c>
      <c r="C63" s="15" t="s">
        <v>149</v>
      </c>
      <c r="D63" s="16">
        <f t="shared" ref="D63:J63" si="4">AVERAGE(D53:D61)</f>
        <v>739.14444444444439</v>
      </c>
      <c r="E63" s="16">
        <f t="shared" si="4"/>
        <v>268.21111111111111</v>
      </c>
      <c r="F63" s="16">
        <f t="shared" si="4"/>
        <v>476.86666666666667</v>
      </c>
      <c r="G63" s="16">
        <f t="shared" si="4"/>
        <v>34.36666666666666</v>
      </c>
      <c r="H63" s="16">
        <f t="shared" si="4"/>
        <v>38.655555555555559</v>
      </c>
      <c r="I63" s="17">
        <f t="shared" si="4"/>
        <v>0.86387777777777786</v>
      </c>
      <c r="J63" s="16">
        <f t="shared" si="4"/>
        <v>885.09666666666681</v>
      </c>
    </row>
    <row r="65" spans="1:10" ht="24" customHeight="1" x14ac:dyDescent="0.2">
      <c r="A65" s="42" t="s">
        <v>156</v>
      </c>
      <c r="B65" s="43"/>
      <c r="C65" s="43"/>
      <c r="D65" s="43"/>
      <c r="E65" s="43"/>
      <c r="F65" s="43"/>
      <c r="G65" s="43"/>
      <c r="H65" s="43"/>
      <c r="I65" s="43"/>
      <c r="J65" s="43"/>
    </row>
    <row r="66" spans="1:10" ht="27.95" customHeight="1" x14ac:dyDescent="0.2">
      <c r="A66" s="1" t="s">
        <v>21</v>
      </c>
      <c r="B66" s="1" t="s">
        <v>46</v>
      </c>
      <c r="C66" s="1" t="s">
        <v>145</v>
      </c>
      <c r="D66" s="1" t="s">
        <v>24</v>
      </c>
      <c r="E66" s="1" t="s">
        <v>26</v>
      </c>
      <c r="F66" s="1" t="s">
        <v>27</v>
      </c>
      <c r="G66" s="1" t="s">
        <v>28</v>
      </c>
      <c r="H66" s="1" t="s">
        <v>29</v>
      </c>
      <c r="I66" s="1" t="s">
        <v>146</v>
      </c>
      <c r="J66" s="1" t="s">
        <v>30</v>
      </c>
    </row>
    <row r="67" spans="1:10" ht="18.95" customHeight="1" x14ac:dyDescent="0.2">
      <c r="A67" s="2">
        <v>1</v>
      </c>
      <c r="B67" s="2" t="s">
        <v>48</v>
      </c>
      <c r="C67" s="3" t="s">
        <v>49</v>
      </c>
      <c r="D67" s="4">
        <v>232</v>
      </c>
      <c r="E67" s="4">
        <v>232</v>
      </c>
      <c r="F67" s="4">
        <v>0</v>
      </c>
      <c r="G67" s="4">
        <v>0</v>
      </c>
      <c r="H67" s="4">
        <v>0</v>
      </c>
      <c r="I67" s="5">
        <v>0</v>
      </c>
      <c r="J67" s="4">
        <v>1117.29</v>
      </c>
    </row>
    <row r="68" spans="1:10" ht="18.95" customHeight="1" x14ac:dyDescent="0.2">
      <c r="A68" s="6">
        <v>2</v>
      </c>
      <c r="B68" s="6" t="s">
        <v>50</v>
      </c>
      <c r="C68" s="7" t="s">
        <v>51</v>
      </c>
      <c r="D68" s="8">
        <v>414.7</v>
      </c>
      <c r="E68" s="8">
        <v>414.7</v>
      </c>
      <c r="F68" s="8">
        <v>0</v>
      </c>
      <c r="G68" s="8">
        <v>0</v>
      </c>
      <c r="H68" s="8">
        <v>0</v>
      </c>
      <c r="I68" s="9">
        <v>0</v>
      </c>
      <c r="J68" s="8">
        <v>1997.15</v>
      </c>
    </row>
    <row r="69" spans="1:10" ht="18.95" customHeight="1" x14ac:dyDescent="0.2">
      <c r="A69" s="2">
        <v>3</v>
      </c>
      <c r="B69" s="2" t="s">
        <v>52</v>
      </c>
      <c r="C69" s="3" t="s">
        <v>53</v>
      </c>
      <c r="D69" s="4">
        <v>631.6</v>
      </c>
      <c r="E69" s="4">
        <v>631.6</v>
      </c>
      <c r="F69" s="4">
        <v>0</v>
      </c>
      <c r="G69" s="4">
        <v>0</v>
      </c>
      <c r="H69" s="4">
        <v>0</v>
      </c>
      <c r="I69" s="5">
        <v>0</v>
      </c>
      <c r="J69" s="4">
        <v>3041.72</v>
      </c>
    </row>
    <row r="70" spans="1:10" ht="18.95" customHeight="1" x14ac:dyDescent="0.2">
      <c r="A70" s="6">
        <v>4</v>
      </c>
      <c r="B70" s="6" t="s">
        <v>54</v>
      </c>
      <c r="C70" s="7" t="s">
        <v>55</v>
      </c>
      <c r="D70" s="8">
        <v>685.4</v>
      </c>
      <c r="E70" s="8">
        <v>685.4</v>
      </c>
      <c r="F70" s="8">
        <v>0</v>
      </c>
      <c r="G70" s="8">
        <v>0</v>
      </c>
      <c r="H70" s="8">
        <v>0</v>
      </c>
      <c r="I70" s="9">
        <v>0</v>
      </c>
      <c r="J70" s="8">
        <v>3300.82</v>
      </c>
    </row>
    <row r="71" spans="1:10" ht="18.95" customHeight="1" x14ac:dyDescent="0.2">
      <c r="A71" s="2">
        <v>5</v>
      </c>
      <c r="B71" s="2" t="s">
        <v>56</v>
      </c>
      <c r="C71" s="3" t="s">
        <v>57</v>
      </c>
      <c r="D71" s="4">
        <v>672.4</v>
      </c>
      <c r="E71" s="4">
        <v>672.4</v>
      </c>
      <c r="F71" s="4">
        <v>0</v>
      </c>
      <c r="G71" s="4">
        <v>0</v>
      </c>
      <c r="H71" s="4">
        <v>0</v>
      </c>
      <c r="I71" s="5">
        <v>0</v>
      </c>
      <c r="J71" s="4">
        <v>3238.21</v>
      </c>
    </row>
    <row r="72" spans="1:10" ht="18.95" customHeight="1" x14ac:dyDescent="0.2">
      <c r="A72" s="6">
        <v>6</v>
      </c>
      <c r="B72" s="6" t="s">
        <v>58</v>
      </c>
      <c r="C72" s="7" t="s">
        <v>59</v>
      </c>
      <c r="D72" s="8">
        <v>476.6</v>
      </c>
      <c r="E72" s="8">
        <v>476.6</v>
      </c>
      <c r="F72" s="8">
        <v>0</v>
      </c>
      <c r="G72" s="8">
        <v>0</v>
      </c>
      <c r="H72" s="8">
        <v>0</v>
      </c>
      <c r="I72" s="9">
        <v>0</v>
      </c>
      <c r="J72" s="8">
        <v>2295.2600000000002</v>
      </c>
    </row>
    <row r="73" spans="1:10" ht="18.95" customHeight="1" x14ac:dyDescent="0.2">
      <c r="A73" s="2">
        <v>7</v>
      </c>
      <c r="B73" s="2" t="s">
        <v>60</v>
      </c>
      <c r="C73" s="3" t="s">
        <v>61</v>
      </c>
      <c r="D73" s="4">
        <v>476.3</v>
      </c>
      <c r="E73" s="4">
        <v>476.3</v>
      </c>
      <c r="F73" s="4">
        <v>0</v>
      </c>
      <c r="G73" s="4">
        <v>0</v>
      </c>
      <c r="H73" s="4">
        <v>0</v>
      </c>
      <c r="I73" s="5">
        <v>0</v>
      </c>
      <c r="J73" s="4">
        <v>2293.81</v>
      </c>
    </row>
    <row r="74" spans="1:10" ht="18.95" customHeight="1" x14ac:dyDescent="0.2">
      <c r="A74" s="6">
        <v>8</v>
      </c>
      <c r="B74" s="6" t="s">
        <v>62</v>
      </c>
      <c r="C74" s="7" t="s">
        <v>63</v>
      </c>
      <c r="D74" s="8">
        <v>405.2</v>
      </c>
      <c r="E74" s="8">
        <v>405.2</v>
      </c>
      <c r="F74" s="8">
        <v>0</v>
      </c>
      <c r="G74" s="8">
        <v>0</v>
      </c>
      <c r="H74" s="8">
        <v>0</v>
      </c>
      <c r="I74" s="9">
        <v>0</v>
      </c>
      <c r="J74" s="8">
        <v>1951.4</v>
      </c>
    </row>
    <row r="75" spans="1:10" ht="21.95" customHeight="1" x14ac:dyDescent="0.2">
      <c r="A75" s="10" t="s">
        <v>42</v>
      </c>
      <c r="B75" s="10" t="s">
        <v>147</v>
      </c>
      <c r="C75" s="11" t="s">
        <v>157</v>
      </c>
      <c r="D75" s="12">
        <f>SUM(D67:D74)</f>
        <v>3994.2000000000003</v>
      </c>
      <c r="E75" s="12">
        <f>SUM(E67:E74)</f>
        <v>3994.2000000000003</v>
      </c>
      <c r="F75" s="12">
        <f>SUM(F67:F74)</f>
        <v>0</v>
      </c>
      <c r="G75" s="12">
        <f>SUM(G67:G74)</f>
        <v>0</v>
      </c>
      <c r="H75" s="12">
        <f>SUM(H67:H74)</f>
        <v>0</v>
      </c>
      <c r="I75" s="13">
        <f>AVERAGE(I67:I74)</f>
        <v>0</v>
      </c>
      <c r="J75" s="12">
        <f>SUM(J67:J74)</f>
        <v>19235.66</v>
      </c>
    </row>
    <row r="76" spans="1:10" ht="20.100000000000001" customHeight="1" x14ac:dyDescent="0.2">
      <c r="A76" s="14" t="s">
        <v>42</v>
      </c>
      <c r="B76" s="14" t="s">
        <v>148</v>
      </c>
      <c r="C76" s="15" t="s">
        <v>149</v>
      </c>
      <c r="D76" s="16">
        <f t="shared" ref="D76:J76" si="5">AVERAGE(D67:D74)</f>
        <v>499.27500000000003</v>
      </c>
      <c r="E76" s="16">
        <f t="shared" si="5"/>
        <v>499.27500000000003</v>
      </c>
      <c r="F76" s="16">
        <f t="shared" si="5"/>
        <v>0</v>
      </c>
      <c r="G76" s="16">
        <f t="shared" si="5"/>
        <v>0</v>
      </c>
      <c r="H76" s="16">
        <f t="shared" si="5"/>
        <v>0</v>
      </c>
      <c r="I76" s="17">
        <f t="shared" si="5"/>
        <v>0</v>
      </c>
      <c r="J76" s="16">
        <f t="shared" si="5"/>
        <v>2404.4575</v>
      </c>
    </row>
  </sheetData>
  <mergeCells count="8">
    <mergeCell ref="A65:J65"/>
    <mergeCell ref="A2:J2"/>
    <mergeCell ref="A51:J51"/>
    <mergeCell ref="A44:J44"/>
    <mergeCell ref="A1:J1"/>
    <mergeCell ref="A32:J32"/>
    <mergeCell ref="A18:J18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7"/>
  <sheetViews>
    <sheetView zoomScale="85" zoomScaleNormal="85" workbookViewId="0">
      <selection activeCell="E2" sqref="E2"/>
    </sheetView>
  </sheetViews>
  <sheetFormatPr defaultRowHeight="14.25" x14ac:dyDescent="0.2"/>
  <cols>
    <col min="1" max="1" width="8" customWidth="1"/>
    <col min="2" max="2" width="28" customWidth="1"/>
    <col min="3" max="3" width="15.125" customWidth="1"/>
    <col min="4" max="4" width="16" customWidth="1"/>
    <col min="5" max="8" width="20" customWidth="1"/>
    <col min="9" max="10" width="18" customWidth="1"/>
    <col min="11" max="11" width="16" customWidth="1"/>
    <col min="12" max="12" width="22" customWidth="1"/>
    <col min="13" max="13" width="45" customWidth="1"/>
  </cols>
  <sheetData>
    <row r="1" spans="1:13" ht="27.95" customHeight="1" x14ac:dyDescent="0.2">
      <c r="A1" s="53" t="s">
        <v>158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3" spans="1:13" ht="26.1" customHeight="1" thickBot="1" x14ac:dyDescent="0.25">
      <c r="A3" s="1" t="s">
        <v>21</v>
      </c>
      <c r="B3" s="1" t="s">
        <v>224</v>
      </c>
      <c r="C3" s="1" t="s">
        <v>159</v>
      </c>
      <c r="D3" s="1" t="s">
        <v>160</v>
      </c>
      <c r="E3" s="1" t="s">
        <v>161</v>
      </c>
      <c r="F3" s="1" t="s">
        <v>162</v>
      </c>
      <c r="G3" s="1" t="s">
        <v>163</v>
      </c>
      <c r="H3" s="1" t="s">
        <v>164</v>
      </c>
      <c r="I3" s="1" t="s">
        <v>165</v>
      </c>
      <c r="J3" s="1" t="s">
        <v>166</v>
      </c>
      <c r="K3" s="1" t="s">
        <v>167</v>
      </c>
      <c r="L3" s="1" t="s">
        <v>168</v>
      </c>
      <c r="M3" s="1" t="s">
        <v>169</v>
      </c>
    </row>
    <row r="4" spans="1:13" ht="18.95" customHeight="1" x14ac:dyDescent="0.2">
      <c r="A4" s="2">
        <v>1</v>
      </c>
      <c r="B4" s="3" t="s">
        <v>170</v>
      </c>
      <c r="C4" s="3" t="s">
        <v>37</v>
      </c>
      <c r="D4" s="2" t="s">
        <v>62</v>
      </c>
      <c r="E4" s="4">
        <v>52.9</v>
      </c>
      <c r="F4" s="4">
        <v>157.30000000000001</v>
      </c>
      <c r="G4" s="4">
        <v>2.4</v>
      </c>
      <c r="H4" s="4">
        <v>109.2</v>
      </c>
      <c r="I4" s="4">
        <v>4.8</v>
      </c>
      <c r="J4" s="4">
        <v>2.4</v>
      </c>
      <c r="K4" s="5">
        <v>0.88470000000000004</v>
      </c>
      <c r="L4" s="4">
        <v>174.57</v>
      </c>
      <c r="M4" s="3" t="s">
        <v>171</v>
      </c>
    </row>
    <row r="5" spans="1:13" ht="18.95" customHeight="1" x14ac:dyDescent="0.2">
      <c r="A5" s="6">
        <v>2</v>
      </c>
      <c r="B5" s="7" t="s">
        <v>170</v>
      </c>
      <c r="C5" s="7" t="s">
        <v>37</v>
      </c>
      <c r="D5" s="6" t="s">
        <v>64</v>
      </c>
      <c r="E5" s="8">
        <v>21.6</v>
      </c>
      <c r="F5" s="8">
        <v>30.1</v>
      </c>
      <c r="G5" s="8">
        <v>1.7</v>
      </c>
      <c r="H5" s="8">
        <v>13.1</v>
      </c>
      <c r="I5" s="8">
        <v>3.1</v>
      </c>
      <c r="J5" s="8">
        <v>0.2</v>
      </c>
      <c r="K5" s="9">
        <v>0.82409999999999994</v>
      </c>
      <c r="L5" s="8">
        <v>71.28</v>
      </c>
      <c r="M5" s="7" t="s">
        <v>171</v>
      </c>
    </row>
    <row r="6" spans="1:13" ht="18.95" customHeight="1" x14ac:dyDescent="0.2">
      <c r="A6" s="2">
        <v>3</v>
      </c>
      <c r="B6" s="3" t="s">
        <v>172</v>
      </c>
      <c r="C6" s="3" t="s">
        <v>32</v>
      </c>
      <c r="D6" s="2" t="s">
        <v>48</v>
      </c>
      <c r="E6" s="4">
        <v>675.8</v>
      </c>
      <c r="F6" s="4">
        <v>1488.1</v>
      </c>
      <c r="G6" s="4">
        <v>1.6</v>
      </c>
      <c r="H6" s="4">
        <v>844.1</v>
      </c>
      <c r="I6" s="4">
        <v>150.69999999999999</v>
      </c>
      <c r="J6" s="4">
        <v>120.5</v>
      </c>
      <c r="K6" s="5">
        <v>0.77879999999999994</v>
      </c>
      <c r="L6" s="4">
        <v>2230.14</v>
      </c>
      <c r="M6" s="3" t="s">
        <v>173</v>
      </c>
    </row>
    <row r="7" spans="1:13" ht="18.95" customHeight="1" x14ac:dyDescent="0.2">
      <c r="A7" s="6">
        <v>4</v>
      </c>
      <c r="B7" s="7" t="s">
        <v>172</v>
      </c>
      <c r="C7" s="7" t="s">
        <v>32</v>
      </c>
      <c r="D7" s="6" t="s">
        <v>50</v>
      </c>
      <c r="E7" s="8">
        <v>574.4</v>
      </c>
      <c r="F7" s="8">
        <v>1494.6</v>
      </c>
      <c r="G7" s="8">
        <v>1.3</v>
      </c>
      <c r="H7" s="8">
        <v>950.5</v>
      </c>
      <c r="I7" s="8">
        <v>160</v>
      </c>
      <c r="J7" s="8">
        <v>131</v>
      </c>
      <c r="K7" s="9">
        <v>0.72430000000000005</v>
      </c>
      <c r="L7" s="8">
        <v>1895.52</v>
      </c>
      <c r="M7" s="7" t="s">
        <v>173</v>
      </c>
    </row>
    <row r="8" spans="1:13" ht="18.95" customHeight="1" x14ac:dyDescent="0.2">
      <c r="A8" s="2">
        <v>5</v>
      </c>
      <c r="B8" s="3" t="s">
        <v>172</v>
      </c>
      <c r="C8" s="3" t="s">
        <v>32</v>
      </c>
      <c r="D8" s="2" t="s">
        <v>52</v>
      </c>
      <c r="E8" s="4">
        <v>893.1</v>
      </c>
      <c r="F8" s="4">
        <v>2959.8</v>
      </c>
      <c r="G8" s="4">
        <v>1.2</v>
      </c>
      <c r="H8" s="4">
        <v>2100.6</v>
      </c>
      <c r="I8" s="4">
        <v>166.8</v>
      </c>
      <c r="J8" s="4">
        <v>134.1</v>
      </c>
      <c r="K8" s="5">
        <v>0.82779999999999998</v>
      </c>
      <c r="L8" s="4">
        <v>2947.23</v>
      </c>
      <c r="M8" s="3" t="s">
        <v>173</v>
      </c>
    </row>
    <row r="9" spans="1:13" ht="18.95" customHeight="1" x14ac:dyDescent="0.2">
      <c r="A9" s="6">
        <v>6</v>
      </c>
      <c r="B9" s="7" t="s">
        <v>172</v>
      </c>
      <c r="C9" s="7" t="s">
        <v>32</v>
      </c>
      <c r="D9" s="6" t="s">
        <v>54</v>
      </c>
      <c r="E9" s="8">
        <v>876.5</v>
      </c>
      <c r="F9" s="8">
        <v>3247.1</v>
      </c>
      <c r="G9" s="8">
        <v>0.6</v>
      </c>
      <c r="H9" s="8">
        <v>2396.4</v>
      </c>
      <c r="I9" s="8">
        <v>95.7</v>
      </c>
      <c r="J9" s="8">
        <v>70.5</v>
      </c>
      <c r="K9" s="9">
        <v>0.89049999999999996</v>
      </c>
      <c r="L9" s="8">
        <v>2892.45</v>
      </c>
      <c r="M9" s="7" t="s">
        <v>173</v>
      </c>
    </row>
    <row r="10" spans="1:13" ht="18.95" customHeight="1" x14ac:dyDescent="0.2">
      <c r="A10" s="2">
        <v>7</v>
      </c>
      <c r="B10" s="3" t="s">
        <v>172</v>
      </c>
      <c r="C10" s="3" t="s">
        <v>32</v>
      </c>
      <c r="D10" s="2" t="s">
        <v>56</v>
      </c>
      <c r="E10" s="4">
        <v>747</v>
      </c>
      <c r="F10" s="4">
        <v>2679.5</v>
      </c>
      <c r="G10" s="4">
        <v>1.1000000000000001</v>
      </c>
      <c r="H10" s="4">
        <v>1966.3</v>
      </c>
      <c r="I10" s="4">
        <v>162.69999999999999</v>
      </c>
      <c r="J10" s="4">
        <v>130</v>
      </c>
      <c r="K10" s="5">
        <v>0.78129999999999999</v>
      </c>
      <c r="L10" s="4">
        <v>2465.1</v>
      </c>
      <c r="M10" s="3" t="s">
        <v>173</v>
      </c>
    </row>
    <row r="11" spans="1:13" ht="18.95" customHeight="1" x14ac:dyDescent="0.2">
      <c r="A11" s="6">
        <v>8</v>
      </c>
      <c r="B11" s="7" t="s">
        <v>172</v>
      </c>
      <c r="C11" s="7" t="s">
        <v>32</v>
      </c>
      <c r="D11" s="6" t="s">
        <v>58</v>
      </c>
      <c r="E11" s="8">
        <v>581.29999999999995</v>
      </c>
      <c r="F11" s="8">
        <v>1066.2</v>
      </c>
      <c r="G11" s="8">
        <v>1.3</v>
      </c>
      <c r="H11" s="8">
        <v>525.6</v>
      </c>
      <c r="I11" s="8">
        <v>206.3</v>
      </c>
      <c r="J11" s="8">
        <v>166.9</v>
      </c>
      <c r="K11" s="9">
        <v>0.62790000000000001</v>
      </c>
      <c r="L11" s="8">
        <v>1918.29</v>
      </c>
      <c r="M11" s="7" t="s">
        <v>173</v>
      </c>
    </row>
    <row r="12" spans="1:13" ht="18.95" customHeight="1" x14ac:dyDescent="0.2">
      <c r="A12" s="2">
        <v>9</v>
      </c>
      <c r="B12" s="3" t="s">
        <v>172</v>
      </c>
      <c r="C12" s="3" t="s">
        <v>32</v>
      </c>
      <c r="D12" s="2" t="s">
        <v>60</v>
      </c>
      <c r="E12" s="4">
        <v>583.29999999999995</v>
      </c>
      <c r="F12" s="4">
        <v>1382.6</v>
      </c>
      <c r="G12" s="4">
        <v>0.8</v>
      </c>
      <c r="H12" s="4">
        <v>834.8</v>
      </c>
      <c r="I12" s="4">
        <v>172.4</v>
      </c>
      <c r="J12" s="4">
        <v>137.69999999999999</v>
      </c>
      <c r="K12" s="5">
        <v>0.70909999999999995</v>
      </c>
      <c r="L12" s="4">
        <v>1924.89</v>
      </c>
      <c r="M12" s="3" t="s">
        <v>173</v>
      </c>
    </row>
    <row r="13" spans="1:13" ht="18.95" customHeight="1" x14ac:dyDescent="0.2">
      <c r="A13" s="6">
        <v>10</v>
      </c>
      <c r="B13" s="7" t="s">
        <v>172</v>
      </c>
      <c r="C13" s="7" t="s">
        <v>32</v>
      </c>
      <c r="D13" s="6" t="s">
        <v>62</v>
      </c>
      <c r="E13" s="8">
        <v>538.20000000000005</v>
      </c>
      <c r="F13" s="8">
        <v>873.8</v>
      </c>
      <c r="G13" s="8">
        <v>0.4</v>
      </c>
      <c r="H13" s="8">
        <v>368.4</v>
      </c>
      <c r="I13" s="8">
        <v>215.1</v>
      </c>
      <c r="J13" s="8">
        <v>182.7</v>
      </c>
      <c r="K13" s="9">
        <v>0.60240000000000005</v>
      </c>
      <c r="L13" s="8">
        <v>1776.06</v>
      </c>
      <c r="M13" s="7" t="s">
        <v>173</v>
      </c>
    </row>
    <row r="14" spans="1:13" ht="18.95" customHeight="1" x14ac:dyDescent="0.2">
      <c r="A14" s="2">
        <v>11</v>
      </c>
      <c r="B14" s="3" t="s">
        <v>172</v>
      </c>
      <c r="C14" s="3" t="s">
        <v>32</v>
      </c>
      <c r="D14" s="2" t="s">
        <v>64</v>
      </c>
      <c r="E14" s="4">
        <v>50.6</v>
      </c>
      <c r="F14" s="4">
        <v>150.4</v>
      </c>
      <c r="G14" s="4">
        <v>0</v>
      </c>
      <c r="H14" s="4">
        <v>104.9</v>
      </c>
      <c r="I14" s="4">
        <v>20.8</v>
      </c>
      <c r="J14" s="4">
        <v>15.7</v>
      </c>
      <c r="K14" s="5">
        <v>0.59089999999999998</v>
      </c>
      <c r="L14" s="4">
        <v>166.98</v>
      </c>
      <c r="M14" s="3" t="s">
        <v>173</v>
      </c>
    </row>
    <row r="15" spans="1:13" ht="18.95" customHeight="1" x14ac:dyDescent="0.2">
      <c r="A15" s="6">
        <v>12</v>
      </c>
      <c r="B15" s="7" t="s">
        <v>174</v>
      </c>
      <c r="C15" s="7" t="s">
        <v>34</v>
      </c>
      <c r="D15" s="6" t="s">
        <v>48</v>
      </c>
      <c r="E15" s="8">
        <v>797.6</v>
      </c>
      <c r="F15" s="8">
        <v>1292.8</v>
      </c>
      <c r="G15" s="8">
        <v>0.6</v>
      </c>
      <c r="H15" s="8">
        <v>495.5</v>
      </c>
      <c r="I15" s="8">
        <v>180</v>
      </c>
      <c r="J15" s="8">
        <v>180.3</v>
      </c>
      <c r="K15" s="9">
        <v>0.77359999999999995</v>
      </c>
      <c r="L15" s="8">
        <v>2632.08</v>
      </c>
      <c r="M15" s="7" t="s">
        <v>175</v>
      </c>
    </row>
    <row r="16" spans="1:13" ht="18.95" customHeight="1" x14ac:dyDescent="0.2">
      <c r="A16" s="2">
        <v>13</v>
      </c>
      <c r="B16" s="3" t="s">
        <v>174</v>
      </c>
      <c r="C16" s="3" t="s">
        <v>34</v>
      </c>
      <c r="D16" s="2" t="s">
        <v>50</v>
      </c>
      <c r="E16" s="4">
        <v>641.5</v>
      </c>
      <c r="F16" s="4">
        <v>1415.2</v>
      </c>
      <c r="G16" s="4">
        <v>0.2</v>
      </c>
      <c r="H16" s="4">
        <v>782.3</v>
      </c>
      <c r="I16" s="4">
        <v>125.7</v>
      </c>
      <c r="J16" s="4">
        <v>117.3</v>
      </c>
      <c r="K16" s="5">
        <v>0.80370000000000008</v>
      </c>
      <c r="L16" s="4">
        <v>2116.9499999999998</v>
      </c>
      <c r="M16" s="3" t="s">
        <v>175</v>
      </c>
    </row>
    <row r="17" spans="1:13" ht="18.95" customHeight="1" x14ac:dyDescent="0.2">
      <c r="A17" s="6">
        <v>14</v>
      </c>
      <c r="B17" s="7" t="s">
        <v>174</v>
      </c>
      <c r="C17" s="7" t="s">
        <v>34</v>
      </c>
      <c r="D17" s="6" t="s">
        <v>52</v>
      </c>
      <c r="E17" s="8">
        <v>410.9</v>
      </c>
      <c r="F17" s="8">
        <v>1264.3</v>
      </c>
      <c r="G17" s="8">
        <v>0.9</v>
      </c>
      <c r="H17" s="8">
        <v>854.6</v>
      </c>
      <c r="I17" s="8">
        <v>20.3</v>
      </c>
      <c r="J17" s="8">
        <v>20</v>
      </c>
      <c r="K17" s="9">
        <v>0.94590000000000007</v>
      </c>
      <c r="L17" s="8">
        <v>1355.97</v>
      </c>
      <c r="M17" s="7" t="s">
        <v>175</v>
      </c>
    </row>
    <row r="18" spans="1:13" ht="18.95" customHeight="1" x14ac:dyDescent="0.2">
      <c r="A18" s="2">
        <v>15</v>
      </c>
      <c r="B18" s="3" t="s">
        <v>174</v>
      </c>
      <c r="C18" s="3" t="s">
        <v>34</v>
      </c>
      <c r="D18" s="2" t="s">
        <v>54</v>
      </c>
      <c r="E18" s="4">
        <v>511.7</v>
      </c>
      <c r="F18" s="4">
        <v>2009.4</v>
      </c>
      <c r="G18" s="4">
        <v>0.4</v>
      </c>
      <c r="H18" s="4">
        <v>1498.6</v>
      </c>
      <c r="I18" s="4">
        <v>0.5</v>
      </c>
      <c r="J18" s="4">
        <v>0</v>
      </c>
      <c r="K18" s="5">
        <v>0.99919999999999998</v>
      </c>
      <c r="L18" s="4">
        <v>1688.61</v>
      </c>
      <c r="M18" s="3" t="s">
        <v>175</v>
      </c>
    </row>
    <row r="19" spans="1:13" ht="18.95" customHeight="1" x14ac:dyDescent="0.2">
      <c r="A19" s="6">
        <v>16</v>
      </c>
      <c r="B19" s="7" t="s">
        <v>174</v>
      </c>
      <c r="C19" s="7" t="s">
        <v>34</v>
      </c>
      <c r="D19" s="6" t="s">
        <v>56</v>
      </c>
      <c r="E19" s="8">
        <v>437.2</v>
      </c>
      <c r="F19" s="8">
        <v>1817.7</v>
      </c>
      <c r="G19" s="8">
        <v>1.3</v>
      </c>
      <c r="H19" s="8">
        <v>1381.9</v>
      </c>
      <c r="I19" s="8">
        <v>0.1</v>
      </c>
      <c r="J19" s="8">
        <v>0</v>
      </c>
      <c r="K19" s="9">
        <v>0.99980000000000002</v>
      </c>
      <c r="L19" s="8">
        <v>1442.76</v>
      </c>
      <c r="M19" s="7" t="s">
        <v>175</v>
      </c>
    </row>
    <row r="20" spans="1:13" ht="18.95" customHeight="1" x14ac:dyDescent="0.2">
      <c r="A20" s="2">
        <v>17</v>
      </c>
      <c r="B20" s="3" t="s">
        <v>174</v>
      </c>
      <c r="C20" s="3" t="s">
        <v>34</v>
      </c>
      <c r="D20" s="2" t="s">
        <v>58</v>
      </c>
      <c r="E20" s="4">
        <v>275.39999999999998</v>
      </c>
      <c r="F20" s="4">
        <v>600.5</v>
      </c>
      <c r="G20" s="4">
        <v>0</v>
      </c>
      <c r="H20" s="4">
        <v>343.9</v>
      </c>
      <c r="I20" s="4">
        <v>80</v>
      </c>
      <c r="J20" s="4">
        <v>61.2</v>
      </c>
      <c r="K20" s="5">
        <v>0.72799999999999998</v>
      </c>
      <c r="L20" s="4">
        <v>908.82</v>
      </c>
      <c r="M20" s="3" t="s">
        <v>175</v>
      </c>
    </row>
    <row r="21" spans="1:13" ht="18.95" customHeight="1" x14ac:dyDescent="0.2">
      <c r="A21" s="6">
        <v>18</v>
      </c>
      <c r="B21" s="7" t="s">
        <v>174</v>
      </c>
      <c r="C21" s="7" t="s">
        <v>34</v>
      </c>
      <c r="D21" s="6" t="s">
        <v>60</v>
      </c>
      <c r="E21" s="8">
        <v>237.3</v>
      </c>
      <c r="F21" s="8">
        <v>600.29999999999995</v>
      </c>
      <c r="G21" s="8">
        <v>0</v>
      </c>
      <c r="H21" s="8">
        <v>371.8</v>
      </c>
      <c r="I21" s="8">
        <v>78.900000000000006</v>
      </c>
      <c r="J21" s="8">
        <v>70.099999999999994</v>
      </c>
      <c r="K21" s="9">
        <v>0.69319999999999993</v>
      </c>
      <c r="L21" s="8">
        <v>783.09</v>
      </c>
      <c r="M21" s="7" t="s">
        <v>175</v>
      </c>
    </row>
    <row r="22" spans="1:13" ht="18.95" customHeight="1" x14ac:dyDescent="0.2">
      <c r="A22" s="2">
        <v>19</v>
      </c>
      <c r="B22" s="3" t="s">
        <v>174</v>
      </c>
      <c r="C22" s="3" t="s">
        <v>34</v>
      </c>
      <c r="D22" s="2" t="s">
        <v>62</v>
      </c>
      <c r="E22" s="4">
        <v>212.6</v>
      </c>
      <c r="F22" s="4">
        <v>323.8</v>
      </c>
      <c r="G22" s="4">
        <v>0</v>
      </c>
      <c r="H22" s="4">
        <v>122</v>
      </c>
      <c r="I22" s="4">
        <v>88.7</v>
      </c>
      <c r="J22" s="4">
        <v>77.900000000000006</v>
      </c>
      <c r="K22" s="5">
        <v>0.58979999999999999</v>
      </c>
      <c r="L22" s="4">
        <v>701.58</v>
      </c>
      <c r="M22" s="3" t="s">
        <v>175</v>
      </c>
    </row>
    <row r="23" spans="1:13" ht="18.95" customHeight="1" x14ac:dyDescent="0.2">
      <c r="A23" s="6">
        <v>20</v>
      </c>
      <c r="B23" s="7" t="s">
        <v>174</v>
      </c>
      <c r="C23" s="7" t="s">
        <v>34</v>
      </c>
      <c r="D23" s="6" t="s">
        <v>64</v>
      </c>
      <c r="E23" s="8">
        <v>18.899999999999999</v>
      </c>
      <c r="F23" s="8">
        <v>22.3</v>
      </c>
      <c r="G23" s="8">
        <v>0</v>
      </c>
      <c r="H23" s="8">
        <v>5.3</v>
      </c>
      <c r="I23" s="8">
        <v>4.5</v>
      </c>
      <c r="J23" s="8">
        <v>2.6</v>
      </c>
      <c r="K23" s="9">
        <v>0.76190000000000002</v>
      </c>
      <c r="L23" s="8">
        <v>62.37</v>
      </c>
      <c r="M23" s="7" t="s">
        <v>175</v>
      </c>
    </row>
    <row r="24" spans="1:13" ht="18.95" customHeight="1" x14ac:dyDescent="0.2">
      <c r="A24" s="2">
        <v>21</v>
      </c>
      <c r="B24" s="3" t="s">
        <v>176</v>
      </c>
      <c r="C24" s="3" t="s">
        <v>35</v>
      </c>
      <c r="D24" s="2" t="s">
        <v>52</v>
      </c>
      <c r="E24" s="4">
        <v>131.5</v>
      </c>
      <c r="F24" s="4">
        <v>137.9</v>
      </c>
      <c r="G24" s="4">
        <v>1.5</v>
      </c>
      <c r="H24" s="4">
        <v>17.899999999999999</v>
      </c>
      <c r="I24" s="4">
        <v>48.9</v>
      </c>
      <c r="J24" s="4">
        <v>38.9</v>
      </c>
      <c r="K24" s="5">
        <v>0.62509999999999999</v>
      </c>
      <c r="L24" s="4">
        <v>0</v>
      </c>
      <c r="M24" s="3" t="s">
        <v>177</v>
      </c>
    </row>
    <row r="25" spans="1:13" ht="18.95" customHeight="1" x14ac:dyDescent="0.2">
      <c r="A25" s="6">
        <v>22</v>
      </c>
      <c r="B25" s="7" t="s">
        <v>176</v>
      </c>
      <c r="C25" s="7" t="s">
        <v>35</v>
      </c>
      <c r="D25" s="6" t="s">
        <v>54</v>
      </c>
      <c r="E25" s="8">
        <v>452.1</v>
      </c>
      <c r="F25" s="8">
        <v>1494.3</v>
      </c>
      <c r="G25" s="8">
        <v>0.1</v>
      </c>
      <c r="H25" s="8">
        <v>1039.5</v>
      </c>
      <c r="I25" s="8">
        <v>83.2</v>
      </c>
      <c r="J25" s="8">
        <v>86</v>
      </c>
      <c r="K25" s="9">
        <v>0.82750000000000001</v>
      </c>
      <c r="L25" s="8">
        <v>0</v>
      </c>
      <c r="M25" s="7" t="s">
        <v>177</v>
      </c>
    </row>
    <row r="26" spans="1:13" ht="18.95" customHeight="1" x14ac:dyDescent="0.2">
      <c r="A26" s="2">
        <v>23</v>
      </c>
      <c r="B26" s="3" t="s">
        <v>176</v>
      </c>
      <c r="C26" s="3" t="s">
        <v>35</v>
      </c>
      <c r="D26" s="2" t="s">
        <v>56</v>
      </c>
      <c r="E26" s="4">
        <v>514.29999999999995</v>
      </c>
      <c r="F26" s="4">
        <v>1383.5</v>
      </c>
      <c r="G26" s="4">
        <v>0</v>
      </c>
      <c r="H26" s="4">
        <v>898.8</v>
      </c>
      <c r="I26" s="4">
        <v>243.7</v>
      </c>
      <c r="J26" s="4">
        <v>214.1</v>
      </c>
      <c r="K26" s="5">
        <v>0.78870000000000007</v>
      </c>
      <c r="L26" s="4">
        <v>0</v>
      </c>
      <c r="M26" s="3" t="s">
        <v>177</v>
      </c>
    </row>
    <row r="27" spans="1:13" ht="18.95" customHeight="1" x14ac:dyDescent="0.2">
      <c r="A27" s="6">
        <v>24</v>
      </c>
      <c r="B27" s="7" t="s">
        <v>176</v>
      </c>
      <c r="C27" s="7" t="s">
        <v>35</v>
      </c>
      <c r="D27" s="6" t="s">
        <v>58</v>
      </c>
      <c r="E27" s="8">
        <v>497.8</v>
      </c>
      <c r="F27" s="8">
        <v>1021.6</v>
      </c>
      <c r="G27" s="8">
        <v>0</v>
      </c>
      <c r="H27" s="8">
        <v>566.5</v>
      </c>
      <c r="I27" s="8">
        <v>189.1</v>
      </c>
      <c r="J27" s="8">
        <v>146.4</v>
      </c>
      <c r="K27" s="9">
        <v>0.75230000000000008</v>
      </c>
      <c r="L27" s="8">
        <v>0</v>
      </c>
      <c r="M27" s="7" t="s">
        <v>177</v>
      </c>
    </row>
    <row r="28" spans="1:13" ht="18.95" customHeight="1" x14ac:dyDescent="0.2">
      <c r="A28" s="2">
        <v>25</v>
      </c>
      <c r="B28" s="3" t="s">
        <v>176</v>
      </c>
      <c r="C28" s="3" t="s">
        <v>35</v>
      </c>
      <c r="D28" s="2" t="s">
        <v>60</v>
      </c>
      <c r="E28" s="4">
        <v>404.9</v>
      </c>
      <c r="F28" s="4">
        <v>1166.7</v>
      </c>
      <c r="G28" s="4">
        <v>0</v>
      </c>
      <c r="H28" s="4">
        <v>786</v>
      </c>
      <c r="I28" s="4">
        <v>156.1</v>
      </c>
      <c r="J28" s="4">
        <v>131.9</v>
      </c>
      <c r="K28" s="5">
        <v>0.87139999999999995</v>
      </c>
      <c r="L28" s="4">
        <v>0</v>
      </c>
      <c r="M28" s="3" t="s">
        <v>177</v>
      </c>
    </row>
    <row r="29" spans="1:13" ht="18.95" customHeight="1" x14ac:dyDescent="0.2">
      <c r="A29" s="6">
        <v>26</v>
      </c>
      <c r="B29" s="7" t="s">
        <v>176</v>
      </c>
      <c r="C29" s="7" t="s">
        <v>35</v>
      </c>
      <c r="D29" s="6" t="s">
        <v>62</v>
      </c>
      <c r="E29" s="8">
        <v>395.5</v>
      </c>
      <c r="F29" s="8">
        <v>867.3</v>
      </c>
      <c r="G29" s="8">
        <v>0</v>
      </c>
      <c r="H29" s="8">
        <v>493.6</v>
      </c>
      <c r="I29" s="8">
        <v>185.9</v>
      </c>
      <c r="J29" s="8">
        <v>164.1</v>
      </c>
      <c r="K29" s="9">
        <v>0.80459999999999998</v>
      </c>
      <c r="L29" s="8">
        <v>0</v>
      </c>
      <c r="M29" s="7" t="s">
        <v>177</v>
      </c>
    </row>
    <row r="30" spans="1:13" ht="18.95" customHeight="1" x14ac:dyDescent="0.2">
      <c r="A30" s="2">
        <v>27</v>
      </c>
      <c r="B30" s="3" t="s">
        <v>176</v>
      </c>
      <c r="C30" s="3" t="s">
        <v>35</v>
      </c>
      <c r="D30" s="2" t="s">
        <v>64</v>
      </c>
      <c r="E30" s="4">
        <v>23.9</v>
      </c>
      <c r="F30" s="4">
        <v>36.700000000000003</v>
      </c>
      <c r="G30" s="4">
        <v>0</v>
      </c>
      <c r="H30" s="4">
        <v>19.5</v>
      </c>
      <c r="I30" s="4">
        <v>16.5</v>
      </c>
      <c r="J30" s="4">
        <v>9.8000000000000007</v>
      </c>
      <c r="K30" s="5">
        <v>0.93310000000000004</v>
      </c>
      <c r="L30" s="4">
        <v>0</v>
      </c>
      <c r="M30" s="3" t="s">
        <v>177</v>
      </c>
    </row>
    <row r="31" spans="1:13" ht="18.95" customHeight="1" x14ac:dyDescent="0.2">
      <c r="A31" s="6">
        <v>28</v>
      </c>
      <c r="B31" s="7" t="s">
        <v>178</v>
      </c>
      <c r="C31" s="7" t="s">
        <v>39</v>
      </c>
      <c r="D31" s="6" t="s">
        <v>48</v>
      </c>
      <c r="E31" s="8">
        <v>306.8</v>
      </c>
      <c r="F31" s="8">
        <v>936.3</v>
      </c>
      <c r="G31" s="8">
        <v>0</v>
      </c>
      <c r="H31" s="8">
        <v>651.20000000000005</v>
      </c>
      <c r="I31" s="8">
        <v>21.7</v>
      </c>
      <c r="J31" s="8">
        <v>0</v>
      </c>
      <c r="K31" s="9">
        <v>0.96579999999999999</v>
      </c>
      <c r="L31" s="8">
        <v>1012.44</v>
      </c>
      <c r="M31" s="7" t="s">
        <v>179</v>
      </c>
    </row>
    <row r="32" spans="1:13" ht="18.95" customHeight="1" x14ac:dyDescent="0.2">
      <c r="A32" s="2">
        <v>29</v>
      </c>
      <c r="B32" s="3" t="s">
        <v>178</v>
      </c>
      <c r="C32" s="3" t="s">
        <v>39</v>
      </c>
      <c r="D32" s="2" t="s">
        <v>50</v>
      </c>
      <c r="E32" s="4">
        <v>317.3</v>
      </c>
      <c r="F32" s="4">
        <v>1057.0999999999999</v>
      </c>
      <c r="G32" s="4">
        <v>0.1</v>
      </c>
      <c r="H32" s="4">
        <v>755.9</v>
      </c>
      <c r="I32" s="4">
        <v>16</v>
      </c>
      <c r="J32" s="4">
        <v>0</v>
      </c>
      <c r="K32" s="5">
        <v>0.97699999999999998</v>
      </c>
      <c r="L32" s="4">
        <v>1047.0899999999999</v>
      </c>
      <c r="M32" s="3" t="s">
        <v>179</v>
      </c>
    </row>
    <row r="33" spans="1:13" ht="18.95" customHeight="1" x14ac:dyDescent="0.2">
      <c r="A33" s="6">
        <v>30</v>
      </c>
      <c r="B33" s="7" t="s">
        <v>178</v>
      </c>
      <c r="C33" s="7" t="s">
        <v>39</v>
      </c>
      <c r="D33" s="6" t="s">
        <v>52</v>
      </c>
      <c r="E33" s="8">
        <v>242.4</v>
      </c>
      <c r="F33" s="8">
        <v>498.8</v>
      </c>
      <c r="G33" s="8">
        <v>0</v>
      </c>
      <c r="H33" s="8">
        <v>280.10000000000002</v>
      </c>
      <c r="I33" s="8">
        <v>59</v>
      </c>
      <c r="J33" s="8">
        <v>35.299999999999997</v>
      </c>
      <c r="K33" s="9">
        <v>0.76280000000000003</v>
      </c>
      <c r="L33" s="8">
        <v>799.92</v>
      </c>
      <c r="M33" s="7" t="s">
        <v>179</v>
      </c>
    </row>
    <row r="34" spans="1:13" ht="18.95" customHeight="1" x14ac:dyDescent="0.2">
      <c r="A34" s="2">
        <v>31</v>
      </c>
      <c r="B34" s="3" t="s">
        <v>178</v>
      </c>
      <c r="C34" s="3" t="s">
        <v>39</v>
      </c>
      <c r="D34" s="2" t="s">
        <v>54</v>
      </c>
      <c r="E34" s="4">
        <v>377.2</v>
      </c>
      <c r="F34" s="4">
        <v>1020.8</v>
      </c>
      <c r="G34" s="4">
        <v>1.1000000000000001</v>
      </c>
      <c r="H34" s="4">
        <v>644</v>
      </c>
      <c r="I34" s="4">
        <v>27.6</v>
      </c>
      <c r="J34" s="4">
        <v>28.3</v>
      </c>
      <c r="K34" s="5">
        <v>0.93359999999999999</v>
      </c>
      <c r="L34" s="4">
        <v>1244.76</v>
      </c>
      <c r="M34" s="3" t="s">
        <v>179</v>
      </c>
    </row>
    <row r="35" spans="1:13" ht="18.95" customHeight="1" x14ac:dyDescent="0.2">
      <c r="A35" s="6">
        <v>32</v>
      </c>
      <c r="B35" s="7" t="s">
        <v>178</v>
      </c>
      <c r="C35" s="7" t="s">
        <v>39</v>
      </c>
      <c r="D35" s="6" t="s">
        <v>56</v>
      </c>
      <c r="E35" s="8">
        <v>418.8</v>
      </c>
      <c r="F35" s="8">
        <v>1727.2</v>
      </c>
      <c r="G35" s="8">
        <v>1.8</v>
      </c>
      <c r="H35" s="8">
        <v>1325.3</v>
      </c>
      <c r="I35" s="8">
        <v>15.4</v>
      </c>
      <c r="J35" s="8">
        <v>0</v>
      </c>
      <c r="K35" s="9">
        <v>0.97750000000000004</v>
      </c>
      <c r="L35" s="8">
        <v>1382.04</v>
      </c>
      <c r="M35" s="7" t="s">
        <v>179</v>
      </c>
    </row>
    <row r="36" spans="1:13" ht="18.95" customHeight="1" x14ac:dyDescent="0.2">
      <c r="A36" s="2">
        <v>33</v>
      </c>
      <c r="B36" s="3" t="s">
        <v>178</v>
      </c>
      <c r="C36" s="3" t="s">
        <v>39</v>
      </c>
      <c r="D36" s="2" t="s">
        <v>58</v>
      </c>
      <c r="E36" s="4">
        <v>371.8</v>
      </c>
      <c r="F36" s="4">
        <v>749.2</v>
      </c>
      <c r="G36" s="4">
        <v>3.9</v>
      </c>
      <c r="H36" s="4">
        <v>373.7</v>
      </c>
      <c r="I36" s="4">
        <v>95.5</v>
      </c>
      <c r="J36" s="4">
        <v>103.1</v>
      </c>
      <c r="K36" s="5">
        <v>0.745</v>
      </c>
      <c r="L36" s="4">
        <v>1226.94</v>
      </c>
      <c r="M36" s="3" t="s">
        <v>179</v>
      </c>
    </row>
    <row r="37" spans="1:13" ht="18.95" customHeight="1" x14ac:dyDescent="0.2">
      <c r="A37" s="6">
        <v>34</v>
      </c>
      <c r="B37" s="7" t="s">
        <v>178</v>
      </c>
      <c r="C37" s="7" t="s">
        <v>39</v>
      </c>
      <c r="D37" s="6" t="s">
        <v>60</v>
      </c>
      <c r="E37" s="8">
        <v>299.3</v>
      </c>
      <c r="F37" s="8">
        <v>472.9</v>
      </c>
      <c r="G37" s="8">
        <v>4.0999999999999996</v>
      </c>
      <c r="H37" s="8">
        <v>139.1</v>
      </c>
      <c r="I37" s="8">
        <v>102.4</v>
      </c>
      <c r="J37" s="8">
        <v>141</v>
      </c>
      <c r="K37" s="9">
        <v>0.65150000000000008</v>
      </c>
      <c r="L37" s="8">
        <v>987.69</v>
      </c>
      <c r="M37" s="7" t="s">
        <v>179</v>
      </c>
    </row>
    <row r="38" spans="1:13" ht="18.95" customHeight="1" x14ac:dyDescent="0.2">
      <c r="A38" s="2">
        <v>35</v>
      </c>
      <c r="B38" s="3" t="s">
        <v>178</v>
      </c>
      <c r="C38" s="3" t="s">
        <v>39</v>
      </c>
      <c r="D38" s="2" t="s">
        <v>62</v>
      </c>
      <c r="E38" s="4">
        <v>58.3</v>
      </c>
      <c r="F38" s="4">
        <v>158.4</v>
      </c>
      <c r="G38" s="4">
        <v>2.4</v>
      </c>
      <c r="H38" s="4">
        <v>109.2</v>
      </c>
      <c r="I38" s="4">
        <v>7.6</v>
      </c>
      <c r="J38" s="4">
        <v>0.9</v>
      </c>
      <c r="K38" s="5">
        <v>0.8798999999999999</v>
      </c>
      <c r="L38" s="4">
        <v>192.39</v>
      </c>
      <c r="M38" s="3" t="s">
        <v>179</v>
      </c>
    </row>
    <row r="39" spans="1:13" ht="18.95" customHeight="1" x14ac:dyDescent="0.2">
      <c r="A39" s="6">
        <v>36</v>
      </c>
      <c r="B39" s="7" t="s">
        <v>178</v>
      </c>
      <c r="C39" s="7" t="s">
        <v>39</v>
      </c>
      <c r="D39" s="6" t="s">
        <v>64</v>
      </c>
      <c r="E39" s="8">
        <v>22</v>
      </c>
      <c r="F39" s="8">
        <v>31.6</v>
      </c>
      <c r="G39" s="8">
        <v>1.7</v>
      </c>
      <c r="H39" s="8">
        <v>13.3</v>
      </c>
      <c r="I39" s="8">
        <v>2.7</v>
      </c>
      <c r="J39" s="8">
        <v>0.7</v>
      </c>
      <c r="K39" s="9">
        <v>0.88180000000000003</v>
      </c>
      <c r="L39" s="8">
        <v>72.599999999999994</v>
      </c>
      <c r="M39" s="7" t="s">
        <v>179</v>
      </c>
    </row>
    <row r="40" spans="1:13" ht="18.95" customHeight="1" x14ac:dyDescent="0.2">
      <c r="A40" s="2">
        <v>37</v>
      </c>
      <c r="B40" s="3" t="s">
        <v>180</v>
      </c>
      <c r="C40" s="3" t="s">
        <v>40</v>
      </c>
      <c r="D40" s="2" t="s">
        <v>48</v>
      </c>
      <c r="E40" s="4">
        <v>232</v>
      </c>
      <c r="F40" s="4">
        <v>232</v>
      </c>
      <c r="G40" s="4">
        <v>0</v>
      </c>
      <c r="H40" s="4">
        <v>0</v>
      </c>
      <c r="I40" s="4">
        <v>0</v>
      </c>
      <c r="J40" s="4">
        <v>0</v>
      </c>
      <c r="K40" s="5">
        <v>0</v>
      </c>
      <c r="L40" s="4">
        <v>1117.29</v>
      </c>
      <c r="M40" s="3" t="s">
        <v>181</v>
      </c>
    </row>
    <row r="41" spans="1:13" ht="18.95" customHeight="1" x14ac:dyDescent="0.2">
      <c r="A41" s="6">
        <v>38</v>
      </c>
      <c r="B41" s="7" t="s">
        <v>180</v>
      </c>
      <c r="C41" s="7" t="s">
        <v>40</v>
      </c>
      <c r="D41" s="6" t="s">
        <v>50</v>
      </c>
      <c r="E41" s="8">
        <v>414.7</v>
      </c>
      <c r="F41" s="8">
        <v>414.7</v>
      </c>
      <c r="G41" s="8">
        <v>0</v>
      </c>
      <c r="H41" s="8">
        <v>0</v>
      </c>
      <c r="I41" s="8">
        <v>0</v>
      </c>
      <c r="J41" s="8">
        <v>0</v>
      </c>
      <c r="K41" s="9">
        <v>0</v>
      </c>
      <c r="L41" s="8">
        <v>1997.15</v>
      </c>
      <c r="M41" s="7" t="s">
        <v>181</v>
      </c>
    </row>
    <row r="42" spans="1:13" ht="18.95" customHeight="1" x14ac:dyDescent="0.2">
      <c r="A42" s="2">
        <v>39</v>
      </c>
      <c r="B42" s="3" t="s">
        <v>180</v>
      </c>
      <c r="C42" s="3" t="s">
        <v>40</v>
      </c>
      <c r="D42" s="2" t="s">
        <v>52</v>
      </c>
      <c r="E42" s="4">
        <v>631.6</v>
      </c>
      <c r="F42" s="4">
        <v>631.6</v>
      </c>
      <c r="G42" s="4">
        <v>0</v>
      </c>
      <c r="H42" s="4">
        <v>0</v>
      </c>
      <c r="I42" s="4">
        <v>0</v>
      </c>
      <c r="J42" s="4">
        <v>0</v>
      </c>
      <c r="K42" s="5">
        <v>0</v>
      </c>
      <c r="L42" s="4">
        <v>3041.72</v>
      </c>
      <c r="M42" s="3" t="s">
        <v>181</v>
      </c>
    </row>
    <row r="43" spans="1:13" ht="18.95" customHeight="1" x14ac:dyDescent="0.2">
      <c r="A43" s="6">
        <v>40</v>
      </c>
      <c r="B43" s="7" t="s">
        <v>180</v>
      </c>
      <c r="C43" s="7" t="s">
        <v>40</v>
      </c>
      <c r="D43" s="6" t="s">
        <v>54</v>
      </c>
      <c r="E43" s="8">
        <v>685.4</v>
      </c>
      <c r="F43" s="8">
        <v>685.4</v>
      </c>
      <c r="G43" s="8">
        <v>0</v>
      </c>
      <c r="H43" s="8">
        <v>0</v>
      </c>
      <c r="I43" s="8">
        <v>0</v>
      </c>
      <c r="J43" s="8">
        <v>0</v>
      </c>
      <c r="K43" s="9">
        <v>0</v>
      </c>
      <c r="L43" s="8">
        <v>3300.82</v>
      </c>
      <c r="M43" s="7" t="s">
        <v>181</v>
      </c>
    </row>
    <row r="44" spans="1:13" ht="18.95" customHeight="1" x14ac:dyDescent="0.2">
      <c r="A44" s="2">
        <v>41</v>
      </c>
      <c r="B44" s="3" t="s">
        <v>180</v>
      </c>
      <c r="C44" s="3" t="s">
        <v>40</v>
      </c>
      <c r="D44" s="2" t="s">
        <v>56</v>
      </c>
      <c r="E44" s="4">
        <v>672.4</v>
      </c>
      <c r="F44" s="4">
        <v>672.4</v>
      </c>
      <c r="G44" s="4">
        <v>0</v>
      </c>
      <c r="H44" s="4">
        <v>0</v>
      </c>
      <c r="I44" s="4">
        <v>0</v>
      </c>
      <c r="J44" s="4">
        <v>0</v>
      </c>
      <c r="K44" s="5">
        <v>0</v>
      </c>
      <c r="L44" s="4">
        <v>3238.21</v>
      </c>
      <c r="M44" s="3" t="s">
        <v>181</v>
      </c>
    </row>
    <row r="45" spans="1:13" ht="18.95" customHeight="1" x14ac:dyDescent="0.2">
      <c r="A45" s="6">
        <v>42</v>
      </c>
      <c r="B45" s="7" t="s">
        <v>180</v>
      </c>
      <c r="C45" s="7" t="s">
        <v>40</v>
      </c>
      <c r="D45" s="6" t="s">
        <v>58</v>
      </c>
      <c r="E45" s="8">
        <v>476.6</v>
      </c>
      <c r="F45" s="8">
        <v>476.6</v>
      </c>
      <c r="G45" s="8">
        <v>0</v>
      </c>
      <c r="H45" s="8">
        <v>0</v>
      </c>
      <c r="I45" s="8">
        <v>0</v>
      </c>
      <c r="J45" s="8">
        <v>0</v>
      </c>
      <c r="K45" s="9">
        <v>0</v>
      </c>
      <c r="L45" s="8">
        <v>2295.2600000000002</v>
      </c>
      <c r="M45" s="7" t="s">
        <v>181</v>
      </c>
    </row>
    <row r="46" spans="1:13" ht="18.95" customHeight="1" x14ac:dyDescent="0.2">
      <c r="A46" s="2">
        <v>43</v>
      </c>
      <c r="B46" s="3" t="s">
        <v>180</v>
      </c>
      <c r="C46" s="3" t="s">
        <v>40</v>
      </c>
      <c r="D46" s="2" t="s">
        <v>60</v>
      </c>
      <c r="E46" s="4">
        <v>476.3</v>
      </c>
      <c r="F46" s="4">
        <v>476.3</v>
      </c>
      <c r="G46" s="4">
        <v>0</v>
      </c>
      <c r="H46" s="4">
        <v>0</v>
      </c>
      <c r="I46" s="4">
        <v>0</v>
      </c>
      <c r="J46" s="4">
        <v>0</v>
      </c>
      <c r="K46" s="5">
        <v>0</v>
      </c>
      <c r="L46" s="4">
        <v>2293.81</v>
      </c>
      <c r="M46" s="3" t="s">
        <v>181</v>
      </c>
    </row>
    <row r="47" spans="1:13" ht="18.95" customHeight="1" x14ac:dyDescent="0.2">
      <c r="A47" s="6">
        <v>44</v>
      </c>
      <c r="B47" s="7" t="s">
        <v>180</v>
      </c>
      <c r="C47" s="7" t="s">
        <v>40</v>
      </c>
      <c r="D47" s="6" t="s">
        <v>62</v>
      </c>
      <c r="E47" s="8">
        <v>405.2</v>
      </c>
      <c r="F47" s="8">
        <v>405.2</v>
      </c>
      <c r="G47" s="8">
        <v>0</v>
      </c>
      <c r="H47" s="8">
        <v>0</v>
      </c>
      <c r="I47" s="8">
        <v>0</v>
      </c>
      <c r="J47" s="8">
        <v>0</v>
      </c>
      <c r="K47" s="9">
        <v>0</v>
      </c>
      <c r="L47" s="8">
        <v>1951.4</v>
      </c>
      <c r="M47" s="7" t="s">
        <v>181</v>
      </c>
    </row>
  </sheetData>
  <autoFilter ref="A3:M47" xr:uid="{00000000-0009-0000-0000-000004000000}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workbookViewId="0">
      <selection sqref="A1:G1"/>
    </sheetView>
  </sheetViews>
  <sheetFormatPr defaultRowHeight="14.25" x14ac:dyDescent="0.2"/>
  <cols>
    <col min="1" max="1" width="6" customWidth="1"/>
    <col min="2" max="2" width="38" customWidth="1"/>
    <col min="3" max="5" width="18" customWidth="1"/>
    <col min="6" max="6" width="20" customWidth="1"/>
    <col min="7" max="7" width="40" customWidth="1"/>
  </cols>
  <sheetData>
    <row r="1" spans="1:7" ht="27.95" customHeight="1" x14ac:dyDescent="0.2">
      <c r="A1" s="53" t="s">
        <v>182</v>
      </c>
      <c r="B1" s="43"/>
      <c r="C1" s="43"/>
      <c r="D1" s="43"/>
      <c r="E1" s="43"/>
      <c r="F1" s="43"/>
      <c r="G1" s="43"/>
    </row>
    <row r="3" spans="1:7" ht="24" customHeight="1" x14ac:dyDescent="0.2">
      <c r="A3" s="42" t="s">
        <v>183</v>
      </c>
      <c r="B3" s="43"/>
      <c r="C3" s="43"/>
      <c r="D3" s="43"/>
      <c r="E3" s="43"/>
      <c r="F3" s="43"/>
      <c r="G3" s="43"/>
    </row>
    <row r="4" spans="1:7" ht="24" customHeight="1" x14ac:dyDescent="0.2">
      <c r="A4" s="102" t="s">
        <v>184</v>
      </c>
      <c r="B4" s="101"/>
      <c r="C4" s="100" t="s">
        <v>185</v>
      </c>
      <c r="D4" s="101"/>
      <c r="E4" s="101"/>
      <c r="F4" s="101"/>
      <c r="G4" s="101"/>
    </row>
    <row r="5" spans="1:7" ht="24" customHeight="1" x14ac:dyDescent="0.2">
      <c r="A5" s="102" t="s">
        <v>186</v>
      </c>
      <c r="B5" s="101"/>
      <c r="C5" s="100" t="s">
        <v>187</v>
      </c>
      <c r="D5" s="101"/>
      <c r="E5" s="101"/>
      <c r="F5" s="101"/>
      <c r="G5" s="101"/>
    </row>
    <row r="6" spans="1:7" ht="24" customHeight="1" x14ac:dyDescent="0.2">
      <c r="A6" s="102" t="s">
        <v>188</v>
      </c>
      <c r="B6" s="101"/>
      <c r="C6" s="100" t="s">
        <v>189</v>
      </c>
      <c r="D6" s="101"/>
      <c r="E6" s="101"/>
      <c r="F6" s="101"/>
      <c r="G6" s="101"/>
    </row>
    <row r="7" spans="1:7" ht="24" customHeight="1" x14ac:dyDescent="0.2">
      <c r="A7" s="102" t="s">
        <v>190</v>
      </c>
      <c r="B7" s="101"/>
      <c r="C7" s="100" t="s">
        <v>191</v>
      </c>
      <c r="D7" s="101"/>
      <c r="E7" s="101"/>
      <c r="F7" s="101"/>
      <c r="G7" s="101"/>
    </row>
    <row r="9" spans="1:7" ht="24" customHeight="1" x14ac:dyDescent="0.2">
      <c r="A9" s="42" t="s">
        <v>192</v>
      </c>
      <c r="B9" s="43"/>
      <c r="C9" s="43"/>
      <c r="D9" s="43"/>
      <c r="E9" s="43"/>
      <c r="F9" s="43"/>
      <c r="G9" s="43"/>
    </row>
    <row r="10" spans="1:7" ht="24" customHeight="1" x14ac:dyDescent="0.2">
      <c r="A10" s="102" t="s">
        <v>193</v>
      </c>
      <c r="B10" s="101"/>
      <c r="C10" s="100" t="s">
        <v>194</v>
      </c>
      <c r="D10" s="101"/>
      <c r="E10" s="101"/>
      <c r="F10" s="101"/>
      <c r="G10" s="101"/>
    </row>
    <row r="11" spans="1:7" ht="24" customHeight="1" x14ac:dyDescent="0.2">
      <c r="A11" s="102" t="s">
        <v>195</v>
      </c>
      <c r="B11" s="101"/>
      <c r="C11" s="100" t="s">
        <v>196</v>
      </c>
      <c r="D11" s="101"/>
      <c r="E11" s="101"/>
      <c r="F11" s="101"/>
      <c r="G11" s="101"/>
    </row>
    <row r="12" spans="1:7" ht="24" customHeight="1" x14ac:dyDescent="0.2">
      <c r="A12" s="102" t="s">
        <v>197</v>
      </c>
      <c r="B12" s="101"/>
      <c r="C12" s="100" t="s">
        <v>198</v>
      </c>
      <c r="D12" s="101"/>
      <c r="E12" s="101"/>
      <c r="F12" s="101"/>
      <c r="G12" s="101"/>
    </row>
    <row r="14" spans="1:7" ht="24" customHeight="1" x14ac:dyDescent="0.2">
      <c r="A14" s="42" t="s">
        <v>199</v>
      </c>
      <c r="B14" s="43"/>
      <c r="C14" s="43"/>
      <c r="D14" s="43"/>
      <c r="E14" s="43"/>
      <c r="F14" s="43"/>
      <c r="G14" s="43"/>
    </row>
    <row r="15" spans="1:7" ht="24" customHeight="1" x14ac:dyDescent="0.2">
      <c r="A15" s="102" t="s">
        <v>200</v>
      </c>
      <c r="B15" s="101"/>
      <c r="C15" s="100" t="s">
        <v>201</v>
      </c>
      <c r="D15" s="101"/>
      <c r="E15" s="101"/>
      <c r="F15" s="101"/>
      <c r="G15" s="101"/>
    </row>
    <row r="16" spans="1:7" ht="24" customHeight="1" x14ac:dyDescent="0.2">
      <c r="A16" s="102" t="s">
        <v>202</v>
      </c>
      <c r="B16" s="101"/>
      <c r="C16" s="100" t="s">
        <v>203</v>
      </c>
      <c r="D16" s="101"/>
      <c r="E16" s="101"/>
      <c r="F16" s="101"/>
      <c r="G16" s="101"/>
    </row>
    <row r="17" spans="1:7" ht="24" customHeight="1" x14ac:dyDescent="0.2">
      <c r="A17" s="102" t="s">
        <v>204</v>
      </c>
      <c r="B17" s="101"/>
      <c r="C17" s="100" t="s">
        <v>205</v>
      </c>
      <c r="D17" s="101"/>
      <c r="E17" s="101"/>
      <c r="F17" s="101"/>
      <c r="G17" s="101"/>
    </row>
    <row r="18" spans="1:7" ht="24" customHeight="1" x14ac:dyDescent="0.2">
      <c r="A18" s="102" t="s">
        <v>206</v>
      </c>
      <c r="B18" s="101"/>
      <c r="C18" s="100" t="s">
        <v>207</v>
      </c>
      <c r="D18" s="101"/>
      <c r="E18" s="101"/>
      <c r="F18" s="101"/>
      <c r="G18" s="101"/>
    </row>
    <row r="20" spans="1:7" ht="24" customHeight="1" x14ac:dyDescent="0.2">
      <c r="A20" s="42" t="s">
        <v>208</v>
      </c>
      <c r="B20" s="43"/>
      <c r="C20" s="43"/>
      <c r="D20" s="43"/>
      <c r="E20" s="43"/>
      <c r="F20" s="43"/>
      <c r="G20" s="43"/>
    </row>
    <row r="21" spans="1:7" ht="24" customHeight="1" x14ac:dyDescent="0.2">
      <c r="A21" s="102" t="s">
        <v>209</v>
      </c>
      <c r="B21" s="101"/>
      <c r="C21" s="100" t="s">
        <v>210</v>
      </c>
      <c r="D21" s="101"/>
      <c r="E21" s="101"/>
      <c r="F21" s="101"/>
      <c r="G21" s="101"/>
    </row>
    <row r="22" spans="1:7" ht="24" customHeight="1" x14ac:dyDescent="0.2">
      <c r="A22" s="102" t="s">
        <v>211</v>
      </c>
      <c r="B22" s="101"/>
      <c r="C22" s="100" t="s">
        <v>212</v>
      </c>
      <c r="D22" s="101"/>
      <c r="E22" s="101"/>
      <c r="F22" s="101"/>
      <c r="G22" s="101"/>
    </row>
    <row r="23" spans="1:7" ht="24" customHeight="1" x14ac:dyDescent="0.2">
      <c r="A23" s="102" t="s">
        <v>213</v>
      </c>
      <c r="B23" s="101"/>
      <c r="C23" s="100" t="s">
        <v>214</v>
      </c>
      <c r="D23" s="101"/>
      <c r="E23" s="101"/>
      <c r="F23" s="101"/>
      <c r="G23" s="101"/>
    </row>
    <row r="25" spans="1:7" ht="24" customHeight="1" x14ac:dyDescent="0.2">
      <c r="A25" s="42" t="s">
        <v>215</v>
      </c>
      <c r="B25" s="43"/>
      <c r="C25" s="43"/>
      <c r="D25" s="43"/>
      <c r="E25" s="43"/>
      <c r="F25" s="43"/>
      <c r="G25" s="43"/>
    </row>
    <row r="26" spans="1:7" ht="24" customHeight="1" x14ac:dyDescent="0.2">
      <c r="A26" s="102" t="s">
        <v>216</v>
      </c>
      <c r="B26" s="101"/>
      <c r="C26" s="100" t="s">
        <v>217</v>
      </c>
      <c r="D26" s="101"/>
      <c r="E26" s="101"/>
      <c r="F26" s="101"/>
      <c r="G26" s="101"/>
    </row>
    <row r="27" spans="1:7" ht="24" customHeight="1" x14ac:dyDescent="0.2">
      <c r="A27" s="102" t="s">
        <v>218</v>
      </c>
      <c r="B27" s="101"/>
      <c r="C27" s="100" t="s">
        <v>219</v>
      </c>
      <c r="D27" s="101"/>
      <c r="E27" s="101"/>
      <c r="F27" s="101"/>
      <c r="G27" s="101"/>
    </row>
    <row r="28" spans="1:7" ht="24" customHeight="1" x14ac:dyDescent="0.2">
      <c r="A28" s="102" t="s">
        <v>220</v>
      </c>
      <c r="B28" s="101"/>
      <c r="C28" s="100" t="s">
        <v>221</v>
      </c>
      <c r="D28" s="101"/>
      <c r="E28" s="101"/>
      <c r="F28" s="101"/>
      <c r="G28" s="101"/>
    </row>
    <row r="29" spans="1:7" ht="24" customHeight="1" x14ac:dyDescent="0.2">
      <c r="A29" s="102" t="s">
        <v>222</v>
      </c>
      <c r="B29" s="101"/>
      <c r="C29" s="100" t="s">
        <v>223</v>
      </c>
      <c r="D29" s="101"/>
      <c r="E29" s="101"/>
      <c r="F29" s="101"/>
      <c r="G29" s="101"/>
    </row>
  </sheetData>
  <mergeCells count="42">
    <mergeCell ref="A20:G20"/>
    <mergeCell ref="C5:G5"/>
    <mergeCell ref="A6:B6"/>
    <mergeCell ref="C26:G26"/>
    <mergeCell ref="C29:G29"/>
    <mergeCell ref="A18:B18"/>
    <mergeCell ref="C22:G22"/>
    <mergeCell ref="A27:B27"/>
    <mergeCell ref="A26:B26"/>
    <mergeCell ref="A21:B21"/>
    <mergeCell ref="C21:G21"/>
    <mergeCell ref="A29:B29"/>
    <mergeCell ref="A28:B28"/>
    <mergeCell ref="C28:G28"/>
    <mergeCell ref="A14:G14"/>
    <mergeCell ref="A15:B15"/>
    <mergeCell ref="C4:G4"/>
    <mergeCell ref="A16:B16"/>
    <mergeCell ref="A7:B7"/>
    <mergeCell ref="A9:G9"/>
    <mergeCell ref="C10:G10"/>
    <mergeCell ref="C16:G16"/>
    <mergeCell ref="A12:B12"/>
    <mergeCell ref="C6:G6"/>
    <mergeCell ref="A11:B11"/>
    <mergeCell ref="C15:G15"/>
    <mergeCell ref="A1:G1"/>
    <mergeCell ref="C12:G12"/>
    <mergeCell ref="A5:B5"/>
    <mergeCell ref="C11:G11"/>
    <mergeCell ref="C27:G27"/>
    <mergeCell ref="A17:B17"/>
    <mergeCell ref="A23:B23"/>
    <mergeCell ref="C23:G23"/>
    <mergeCell ref="A25:G25"/>
    <mergeCell ref="A22:B22"/>
    <mergeCell ref="C17:G17"/>
    <mergeCell ref="A4:B4"/>
    <mergeCell ref="C7:G7"/>
    <mergeCell ref="A3:G3"/>
    <mergeCell ref="A10:B10"/>
    <mergeCell ref="C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Dashboard</vt:lpstr>
      <vt:lpstr>การเข้าพักและค่าไฟ</vt:lpstr>
      <vt:lpstr>ตารางเปรียบเทียบรายเดือน</vt:lpstr>
      <vt:lpstr>รายละเอียดแยกรายหลัง</vt:lpstr>
      <vt:lpstr>ฐานข้อมูลดิบ (Raw Data)</vt:lpstr>
      <vt:lpstr>บทวิเคราะห์และข้อสังเกต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bug</cp:lastModifiedBy>
  <dcterms:created xsi:type="dcterms:W3CDTF">2026-09-03T09:20:27Z</dcterms:created>
  <dcterms:modified xsi:type="dcterms:W3CDTF">2026-09-05T10:53:47Z</dcterms:modified>
</cp:coreProperties>
</file>